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esktop\Scripts_automatización\Afiliación_Activación\Fuente\"/>
    </mc:Choice>
  </mc:AlternateContent>
  <xr:revisionPtr revIDLastSave="0" documentId="13_ncr:1_{142176B6-DF78-48F2-9C20-69BA51B1E96F}" xr6:coauthVersionLast="47" xr6:coauthVersionMax="47" xr10:uidLastSave="{00000000-0000-0000-0000-000000000000}"/>
  <bookViews>
    <workbookView xWindow="-108" yWindow="-108" windowWidth="23256" windowHeight="12456" firstSheet="4" activeTab="8" xr2:uid="{13175BF8-9800-45D8-992C-3B14EFC58EB7}"/>
  </bookViews>
  <sheets>
    <sheet name="Aeropuerto" sheetId="18" r:id="rId1"/>
    <sheet name="FEBRERO-26" sheetId="20" r:id="rId2"/>
    <sheet name="ENERO-26" sheetId="19" r:id="rId3"/>
    <sheet name="DICIEMBRE" sheetId="17" r:id="rId4"/>
    <sheet name="NOVIEMBRE" sheetId="16" r:id="rId5"/>
    <sheet name="OCTUBRE" sheetId="15" r:id="rId6"/>
    <sheet name="SEPTIEMBRE" sheetId="12" r:id="rId7"/>
    <sheet name="AGOSTO" sheetId="10" r:id="rId8"/>
    <sheet name="JULIO" sheetId="9" r:id="rId9"/>
    <sheet name="JUNIO" sheetId="8" r:id="rId10"/>
    <sheet name="MAYO" sheetId="6" r:id="rId11"/>
    <sheet name="ABRIL" sheetId="4" r:id="rId12"/>
    <sheet name="MARZO" sheetId="1" r:id="rId13"/>
    <sheet name="FUNNEL DE CONVERSIÓN" sheetId="5" state="hidden" r:id="rId14"/>
    <sheet name="Proyección Abril - May - Ju (2)" sheetId="7" r:id="rId15"/>
    <sheet name="Hoja2" sheetId="11" r:id="rId16"/>
    <sheet name="Hoja1" sheetId="3" r:id="rId17"/>
    <sheet name="RQ AFI POR MES" sheetId="14" r:id="rId18"/>
  </sheets>
  <externalReferences>
    <externalReference r:id="rId19"/>
  </externalReferences>
  <definedNames>
    <definedName name="_xlnm._FilterDatabase" localSheetId="11" hidden="1">ABRIL!$B$3:$Z$6</definedName>
    <definedName name="_xlnm._FilterDatabase" localSheetId="7" hidden="1">AGOSTO!$B$3:$Z$6</definedName>
    <definedName name="_xlnm._FilterDatabase" localSheetId="3" hidden="1">DICIEMBRE!$B$3:$AE$6</definedName>
    <definedName name="_xlnm._FilterDatabase" localSheetId="2" hidden="1">'ENERO-26'!$B$3:$Z$6</definedName>
    <definedName name="_xlnm._FilterDatabase" localSheetId="1" hidden="1">'FEBRERO-26'!$B$3:$Z$6</definedName>
    <definedName name="_xlnm._FilterDatabase" localSheetId="8" hidden="1">JULIO!$B$3:$Z$6</definedName>
    <definedName name="_xlnm._FilterDatabase" localSheetId="9" hidden="1">JUNIO!$B$3:$AE$6</definedName>
    <definedName name="_xlnm._FilterDatabase" localSheetId="12" hidden="1">MARZO!$B$3:$Z$6</definedName>
    <definedName name="_xlnm._FilterDatabase" localSheetId="10" hidden="1">MAYO!$B$3:$Z$6</definedName>
    <definedName name="_xlnm._FilterDatabase" localSheetId="4" hidden="1">NOVIEMBRE!$B$3:$Z$6</definedName>
    <definedName name="_xlnm._FilterDatabase" localSheetId="5" hidden="1">OCTUBRE!$B$3:$Z$6</definedName>
    <definedName name="_xlnm._FilterDatabase" localSheetId="6" hidden="1">SEPTIEMBRE!$B$3:$AE$6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0" l="1"/>
  <c r="T17" i="20"/>
  <c r="N17" i="20"/>
  <c r="J17" i="20"/>
  <c r="I17" i="20"/>
  <c r="E17" i="20"/>
  <c r="Y16" i="20"/>
  <c r="Z16" i="20" s="1"/>
  <c r="W16" i="20"/>
  <c r="R16" i="20"/>
  <c r="M16" i="20"/>
  <c r="H16" i="20"/>
  <c r="Y15" i="20"/>
  <c r="Z15" i="20" s="1"/>
  <c r="W15" i="20"/>
  <c r="W17" i="20" s="1"/>
  <c r="R15" i="20"/>
  <c r="R17" i="20" s="1"/>
  <c r="M15" i="20"/>
  <c r="M17" i="20" s="1"/>
  <c r="H15" i="20"/>
  <c r="H17" i="20" s="1"/>
  <c r="Y12" i="20"/>
  <c r="Z12" i="20" s="1"/>
  <c r="W12" i="20"/>
  <c r="R12" i="20"/>
  <c r="M12" i="20"/>
  <c r="H12" i="20"/>
  <c r="Y9" i="20"/>
  <c r="Z9" i="20" s="1"/>
  <c r="W9" i="20"/>
  <c r="R9" i="20"/>
  <c r="M9" i="20"/>
  <c r="H9" i="20"/>
  <c r="X6" i="20"/>
  <c r="T6" i="20"/>
  <c r="S6" i="20"/>
  <c r="O6" i="20"/>
  <c r="N6" i="20"/>
  <c r="M6" i="20"/>
  <c r="J6" i="20"/>
  <c r="Y5" i="20"/>
  <c r="Z5" i="20" s="1"/>
  <c r="W5" i="20"/>
  <c r="R5" i="20"/>
  <c r="H5" i="20"/>
  <c r="Y4" i="20"/>
  <c r="Z4" i="20" s="1"/>
  <c r="W4" i="20"/>
  <c r="R4" i="20"/>
  <c r="H4" i="20"/>
  <c r="W15" i="19"/>
  <c r="R16" i="19"/>
  <c r="R15" i="19"/>
  <c r="R12" i="19"/>
  <c r="R9" i="19"/>
  <c r="O6" i="19"/>
  <c r="R5" i="19"/>
  <c r="R4" i="19"/>
  <c r="W4" i="19"/>
  <c r="I6" i="17"/>
  <c r="H6" i="20" l="1"/>
  <c r="W6" i="20"/>
  <c r="R6" i="20"/>
  <c r="AA17" i="17"/>
  <c r="Z17" i="17"/>
  <c r="AA6" i="17"/>
  <c r="Z6" i="17"/>
  <c r="V17" i="17"/>
  <c r="U17" i="17"/>
  <c r="V6" i="17"/>
  <c r="U6" i="17"/>
  <c r="Q17" i="17"/>
  <c r="P17" i="17"/>
  <c r="Q6" i="17"/>
  <c r="P6" i="17"/>
  <c r="L6" i="17"/>
  <c r="K6" i="17"/>
  <c r="L17" i="17"/>
  <c r="K17" i="17"/>
  <c r="G17" i="17"/>
  <c r="F17" i="17"/>
  <c r="G6" i="17"/>
  <c r="F6" i="17"/>
  <c r="Y4" i="19"/>
  <c r="Z4" i="19" s="1"/>
  <c r="Y5" i="19"/>
  <c r="Y16" i="19"/>
  <c r="Z16" i="19" s="1"/>
  <c r="Y15" i="19"/>
  <c r="Z15" i="19" s="1"/>
  <c r="Y12" i="19"/>
  <c r="Z12" i="19" s="1"/>
  <c r="Y9" i="19"/>
  <c r="Z9" i="19" s="1"/>
  <c r="Z5" i="19"/>
  <c r="T17" i="19"/>
  <c r="N17" i="19"/>
  <c r="J17" i="19"/>
  <c r="I17" i="19"/>
  <c r="E17" i="19"/>
  <c r="W16" i="19"/>
  <c r="M16" i="19"/>
  <c r="H16" i="19"/>
  <c r="R17" i="19"/>
  <c r="M15" i="19"/>
  <c r="M17" i="19" s="1"/>
  <c r="H15" i="19"/>
  <c r="W12" i="19"/>
  <c r="M12" i="19"/>
  <c r="H12" i="19"/>
  <c r="W9" i="19"/>
  <c r="M9" i="19"/>
  <c r="H9" i="19"/>
  <c r="X6" i="19"/>
  <c r="T6" i="19"/>
  <c r="S6" i="19"/>
  <c r="N6" i="19"/>
  <c r="J6" i="19"/>
  <c r="W5" i="19"/>
  <c r="M5" i="19"/>
  <c r="H5" i="19"/>
  <c r="M4" i="19"/>
  <c r="H4" i="19"/>
  <c r="H6" i="19" s="1"/>
  <c r="L5" i="18"/>
  <c r="E7" i="18"/>
  <c r="C15" i="18"/>
  <c r="D15" i="18" s="1"/>
  <c r="E15" i="18" s="1"/>
  <c r="F7" i="18"/>
  <c r="G7" i="18"/>
  <c r="H7" i="18"/>
  <c r="I7" i="18"/>
  <c r="J7" i="18"/>
  <c r="D7" i="18"/>
  <c r="AD16" i="17"/>
  <c r="AE16" i="17" s="1"/>
  <c r="AD15" i="17"/>
  <c r="AE15" i="17" s="1"/>
  <c r="AD12" i="17"/>
  <c r="AE12" i="17" s="1"/>
  <c r="AD9" i="17"/>
  <c r="AE9" i="17" s="1"/>
  <c r="AD5" i="17"/>
  <c r="AE5" i="17" s="1"/>
  <c r="AD4" i="17"/>
  <c r="AE4" i="17" s="1"/>
  <c r="Y17" i="17"/>
  <c r="AB16" i="17"/>
  <c r="AB15" i="17"/>
  <c r="AB12" i="17"/>
  <c r="AB9" i="17"/>
  <c r="AC6" i="17"/>
  <c r="Y6" i="17"/>
  <c r="AB5" i="17"/>
  <c r="AB4" i="17"/>
  <c r="T17" i="17"/>
  <c r="O17" i="17"/>
  <c r="N17" i="17"/>
  <c r="J17" i="17"/>
  <c r="I17" i="17"/>
  <c r="E17" i="17"/>
  <c r="W16" i="17"/>
  <c r="R16" i="17"/>
  <c r="M16" i="17"/>
  <c r="H16" i="17"/>
  <c r="W15" i="17"/>
  <c r="R15" i="17"/>
  <c r="M15" i="17"/>
  <c r="H15" i="17"/>
  <c r="W12" i="17"/>
  <c r="R12" i="17"/>
  <c r="M12" i="17"/>
  <c r="H12" i="17"/>
  <c r="W9" i="17"/>
  <c r="R9" i="17"/>
  <c r="M9" i="17"/>
  <c r="H9" i="17"/>
  <c r="X6" i="17"/>
  <c r="T6" i="17"/>
  <c r="S6" i="17"/>
  <c r="O6" i="17"/>
  <c r="N6" i="17"/>
  <c r="J6" i="17"/>
  <c r="W5" i="17"/>
  <c r="R5" i="17"/>
  <c r="M5" i="17"/>
  <c r="H5" i="17"/>
  <c r="W4" i="17"/>
  <c r="R4" i="17"/>
  <c r="M4" i="17"/>
  <c r="H4" i="17"/>
  <c r="V8" i="7"/>
  <c r="J4" i="11"/>
  <c r="V28" i="7"/>
  <c r="V19" i="7"/>
  <c r="U8" i="7"/>
  <c r="C19" i="11"/>
  <c r="D19" i="11"/>
  <c r="E17" i="11"/>
  <c r="E16" i="11"/>
  <c r="Y22" i="9"/>
  <c r="Y21" i="15"/>
  <c r="AD20" i="12"/>
  <c r="Y22" i="10"/>
  <c r="I4" i="11"/>
  <c r="H4" i="11"/>
  <c r="G4" i="11"/>
  <c r="U28" i="7"/>
  <c r="U19" i="7"/>
  <c r="Y4" i="16"/>
  <c r="Z4" i="16" s="1"/>
  <c r="U17" i="16"/>
  <c r="T17" i="16"/>
  <c r="Q17" i="16"/>
  <c r="P17" i="16"/>
  <c r="O17" i="16"/>
  <c r="N17" i="16"/>
  <c r="L17" i="16"/>
  <c r="K17" i="16"/>
  <c r="J17" i="16"/>
  <c r="I17" i="16"/>
  <c r="G17" i="16"/>
  <c r="F17" i="16"/>
  <c r="E17" i="16"/>
  <c r="Y16" i="16"/>
  <c r="Z16" i="16" s="1"/>
  <c r="W16" i="16"/>
  <c r="R16" i="16"/>
  <c r="M16" i="16"/>
  <c r="H16" i="16"/>
  <c r="Y15" i="16"/>
  <c r="Z15" i="16" s="1"/>
  <c r="W15" i="16"/>
  <c r="W17" i="16" s="1"/>
  <c r="R15" i="16"/>
  <c r="R17" i="16" s="1"/>
  <c r="M15" i="16"/>
  <c r="H15" i="16"/>
  <c r="Y12" i="16"/>
  <c r="Z12" i="16" s="1"/>
  <c r="W12" i="16"/>
  <c r="R12" i="16"/>
  <c r="M12" i="16"/>
  <c r="H12" i="16"/>
  <c r="Y9" i="16"/>
  <c r="Z9" i="16" s="1"/>
  <c r="W9" i="16"/>
  <c r="R9" i="16"/>
  <c r="M9" i="16"/>
  <c r="H9" i="16"/>
  <c r="X6" i="16"/>
  <c r="V6" i="16"/>
  <c r="U6" i="16"/>
  <c r="T6" i="16"/>
  <c r="S6" i="16"/>
  <c r="Q6" i="16"/>
  <c r="P6" i="16"/>
  <c r="O6" i="16"/>
  <c r="N6" i="16"/>
  <c r="L6" i="16"/>
  <c r="K6" i="16"/>
  <c r="J6" i="16"/>
  <c r="I6" i="16"/>
  <c r="G6" i="16"/>
  <c r="F6" i="16"/>
  <c r="E6" i="16"/>
  <c r="Y5" i="16"/>
  <c r="Z5" i="16" s="1"/>
  <c r="W5" i="16"/>
  <c r="R5" i="16"/>
  <c r="M5" i="16"/>
  <c r="H5" i="16"/>
  <c r="W4" i="16"/>
  <c r="R4" i="16"/>
  <c r="M4" i="16"/>
  <c r="H4" i="16"/>
  <c r="T17" i="15"/>
  <c r="O17" i="15"/>
  <c r="Y16" i="15"/>
  <c r="Z16" i="15" s="1"/>
  <c r="Y15" i="15"/>
  <c r="Z15" i="15" s="1"/>
  <c r="Y12" i="15"/>
  <c r="Z12" i="15" s="1"/>
  <c r="Y9" i="15"/>
  <c r="Y5" i="15"/>
  <c r="Z5" i="15" s="1"/>
  <c r="Y4" i="15"/>
  <c r="Z4" i="15" s="1"/>
  <c r="U17" i="15"/>
  <c r="Q17" i="15"/>
  <c r="P17" i="15"/>
  <c r="N17" i="15"/>
  <c r="L17" i="15"/>
  <c r="K17" i="15"/>
  <c r="J17" i="15"/>
  <c r="I17" i="15"/>
  <c r="G17" i="15"/>
  <c r="F17" i="15"/>
  <c r="E17" i="15"/>
  <c r="W16" i="15"/>
  <c r="R16" i="15"/>
  <c r="M16" i="15"/>
  <c r="H16" i="15"/>
  <c r="W15" i="15"/>
  <c r="W17" i="15" s="1"/>
  <c r="R15" i="15"/>
  <c r="M15" i="15"/>
  <c r="H15" i="15"/>
  <c r="W12" i="15"/>
  <c r="R12" i="15"/>
  <c r="M12" i="15"/>
  <c r="H12" i="15"/>
  <c r="Z9" i="15"/>
  <c r="W9" i="15"/>
  <c r="R9" i="15"/>
  <c r="M9" i="15"/>
  <c r="H9" i="15"/>
  <c r="X6" i="15"/>
  <c r="V6" i="15"/>
  <c r="U6" i="15"/>
  <c r="T6" i="15"/>
  <c r="S6" i="15"/>
  <c r="Q6" i="15"/>
  <c r="P6" i="15"/>
  <c r="O6" i="15"/>
  <c r="N6" i="15"/>
  <c r="L6" i="15"/>
  <c r="K6" i="15"/>
  <c r="J6" i="15"/>
  <c r="I6" i="15"/>
  <c r="G6" i="15"/>
  <c r="F6" i="15"/>
  <c r="E6" i="15"/>
  <c r="W5" i="15"/>
  <c r="R5" i="15"/>
  <c r="M5" i="15"/>
  <c r="H5" i="15"/>
  <c r="W4" i="15"/>
  <c r="W6" i="15" s="1"/>
  <c r="R4" i="15"/>
  <c r="M4" i="15"/>
  <c r="H4" i="15"/>
  <c r="S24" i="7"/>
  <c r="S15" i="7"/>
  <c r="S7" i="7"/>
  <c r="S8" i="7"/>
  <c r="R8" i="7"/>
  <c r="AD16" i="12"/>
  <c r="AD15" i="12"/>
  <c r="AE15" i="12" s="1"/>
  <c r="AD12" i="12"/>
  <c r="AE12" i="12" s="1"/>
  <c r="AD9" i="12"/>
  <c r="AE9" i="12" s="1"/>
  <c r="AD5" i="12"/>
  <c r="AE5" i="12" s="1"/>
  <c r="AD4" i="12"/>
  <c r="AE4" i="12" s="1"/>
  <c r="AC17" i="12"/>
  <c r="AA17" i="12"/>
  <c r="Z17" i="12"/>
  <c r="Y17" i="12"/>
  <c r="AB16" i="12"/>
  <c r="AB15" i="12"/>
  <c r="AB12" i="12"/>
  <c r="AB9" i="12"/>
  <c r="AC6" i="12"/>
  <c r="AA6" i="12"/>
  <c r="Z6" i="12"/>
  <c r="Y6" i="12"/>
  <c r="AB5" i="12"/>
  <c r="AB4" i="12"/>
  <c r="U17" i="12"/>
  <c r="Q17" i="12"/>
  <c r="P17" i="12"/>
  <c r="N17" i="12"/>
  <c r="L17" i="12"/>
  <c r="K17" i="12"/>
  <c r="J17" i="12"/>
  <c r="I17" i="12"/>
  <c r="G17" i="12"/>
  <c r="F17" i="12"/>
  <c r="E17" i="12"/>
  <c r="AE16" i="12"/>
  <c r="W16" i="12"/>
  <c r="R16" i="12"/>
  <c r="M16" i="12"/>
  <c r="H16" i="12"/>
  <c r="W15" i="12"/>
  <c r="R15" i="12"/>
  <c r="M15" i="12"/>
  <c r="H15" i="12"/>
  <c r="W12" i="12"/>
  <c r="R12" i="12"/>
  <c r="M12" i="12"/>
  <c r="H12" i="12"/>
  <c r="W9" i="12"/>
  <c r="R9" i="12"/>
  <c r="M9" i="12"/>
  <c r="H9" i="12"/>
  <c r="X6" i="12"/>
  <c r="V6" i="12"/>
  <c r="U6" i="12"/>
  <c r="T6" i="12"/>
  <c r="S6" i="12"/>
  <c r="Q6" i="12"/>
  <c r="P6" i="12"/>
  <c r="O6" i="12"/>
  <c r="N6" i="12"/>
  <c r="L6" i="12"/>
  <c r="K6" i="12"/>
  <c r="J6" i="12"/>
  <c r="I6" i="12"/>
  <c r="G6" i="12"/>
  <c r="F6" i="12"/>
  <c r="E6" i="12"/>
  <c r="W5" i="12"/>
  <c r="R5" i="12"/>
  <c r="M5" i="12"/>
  <c r="H5" i="12"/>
  <c r="W4" i="12"/>
  <c r="R4" i="12"/>
  <c r="M4" i="12"/>
  <c r="H4" i="12"/>
  <c r="T6" i="10"/>
  <c r="R17" i="10"/>
  <c r="W17" i="10"/>
  <c r="R16" i="10"/>
  <c r="R15" i="10"/>
  <c r="Z5" i="10"/>
  <c r="M4" i="10"/>
  <c r="R28" i="7"/>
  <c r="R19" i="7"/>
  <c r="H4" i="10"/>
  <c r="F17" i="10"/>
  <c r="U17" i="10"/>
  <c r="Q17" i="10"/>
  <c r="P17" i="10"/>
  <c r="N17" i="10"/>
  <c r="L17" i="10"/>
  <c r="K17" i="10"/>
  <c r="J17" i="10"/>
  <c r="I17" i="10"/>
  <c r="G17" i="10"/>
  <c r="E17" i="10"/>
  <c r="Y16" i="10"/>
  <c r="Z16" i="10" s="1"/>
  <c r="W16" i="10"/>
  <c r="M16" i="10"/>
  <c r="H16" i="10"/>
  <c r="Y15" i="10"/>
  <c r="Z15" i="10" s="1"/>
  <c r="W15" i="10"/>
  <c r="M15" i="10"/>
  <c r="M17" i="10" s="1"/>
  <c r="H15" i="10"/>
  <c r="H17" i="10" s="1"/>
  <c r="Y12" i="10"/>
  <c r="Z12" i="10" s="1"/>
  <c r="W12" i="10"/>
  <c r="R12" i="10"/>
  <c r="M12" i="10"/>
  <c r="H12" i="10"/>
  <c r="Y9" i="10"/>
  <c r="Z9" i="10" s="1"/>
  <c r="W9" i="10"/>
  <c r="R9" i="10"/>
  <c r="M9" i="10"/>
  <c r="H9" i="10"/>
  <c r="X6" i="10"/>
  <c r="V6" i="10"/>
  <c r="U6" i="10"/>
  <c r="S6" i="10"/>
  <c r="Q6" i="10"/>
  <c r="P6" i="10"/>
  <c r="O6" i="10"/>
  <c r="N6" i="10"/>
  <c r="L6" i="10"/>
  <c r="K6" i="10"/>
  <c r="J6" i="10"/>
  <c r="I6" i="10"/>
  <c r="G6" i="10"/>
  <c r="F6" i="10"/>
  <c r="E6" i="10"/>
  <c r="Y5" i="10"/>
  <c r="W5" i="10"/>
  <c r="R5" i="10"/>
  <c r="M5" i="10"/>
  <c r="H5" i="10"/>
  <c r="Y4" i="10"/>
  <c r="Z4" i="10" s="1"/>
  <c r="W4" i="10"/>
  <c r="R4" i="10"/>
  <c r="M6" i="10"/>
  <c r="H6" i="10"/>
  <c r="Z16" i="9"/>
  <c r="Z15" i="9"/>
  <c r="Z4" i="9"/>
  <c r="Y15" i="9"/>
  <c r="N19" i="9"/>
  <c r="M19" i="9"/>
  <c r="J19" i="9"/>
  <c r="E19" i="9"/>
  <c r="N19" i="7"/>
  <c r="N11" i="7"/>
  <c r="Y18" i="9"/>
  <c r="Y17" i="9"/>
  <c r="Z17" i="9" s="1"/>
  <c r="Y16" i="9"/>
  <c r="Y12" i="9"/>
  <c r="Z12" i="9" s="1"/>
  <c r="Y9" i="9"/>
  <c r="Z9" i="9" s="1"/>
  <c r="Y5" i="9"/>
  <c r="Z5" i="9" s="1"/>
  <c r="Y4" i="9"/>
  <c r="U19" i="9"/>
  <c r="Q19" i="9"/>
  <c r="P19" i="9"/>
  <c r="L19" i="9"/>
  <c r="K19" i="9"/>
  <c r="I19" i="9"/>
  <c r="G19" i="9"/>
  <c r="F19" i="9"/>
  <c r="Z18" i="9"/>
  <c r="W18" i="9"/>
  <c r="R18" i="9"/>
  <c r="M18" i="9"/>
  <c r="H18" i="9"/>
  <c r="W17" i="9"/>
  <c r="R17" i="9"/>
  <c r="M17" i="9"/>
  <c r="H17" i="9"/>
  <c r="W16" i="9"/>
  <c r="R16" i="9"/>
  <c r="M16" i="9"/>
  <c r="H16" i="9"/>
  <c r="W15" i="9"/>
  <c r="R15" i="9"/>
  <c r="M15" i="9"/>
  <c r="H15" i="9"/>
  <c r="W12" i="9"/>
  <c r="R12" i="9"/>
  <c r="M12" i="9"/>
  <c r="H12" i="9"/>
  <c r="W9" i="9"/>
  <c r="R9" i="9"/>
  <c r="M9" i="9"/>
  <c r="H9" i="9"/>
  <c r="T6" i="9"/>
  <c r="X6" i="9"/>
  <c r="V6" i="9"/>
  <c r="U6" i="9"/>
  <c r="O6" i="9"/>
  <c r="S6" i="9"/>
  <c r="Q6" i="9"/>
  <c r="P6" i="9"/>
  <c r="J6" i="9"/>
  <c r="N6" i="9"/>
  <c r="L6" i="9"/>
  <c r="K6" i="9"/>
  <c r="E6" i="9"/>
  <c r="I6" i="9"/>
  <c r="G6" i="9"/>
  <c r="F6" i="9"/>
  <c r="W5" i="9"/>
  <c r="R5" i="9"/>
  <c r="M5" i="9"/>
  <c r="H5" i="9"/>
  <c r="W4" i="9"/>
  <c r="R4" i="9"/>
  <c r="M4" i="9"/>
  <c r="H4" i="9"/>
  <c r="AD16" i="8"/>
  <c r="AD17" i="8"/>
  <c r="AD18" i="8"/>
  <c r="AD15" i="8"/>
  <c r="AD12" i="8"/>
  <c r="AD9" i="8"/>
  <c r="AD5" i="8"/>
  <c r="AD4" i="8"/>
  <c r="AE4" i="8" s="1"/>
  <c r="Y19" i="8"/>
  <c r="AC19" i="8"/>
  <c r="AA19" i="8"/>
  <c r="Z19" i="8"/>
  <c r="AB18" i="8"/>
  <c r="AB17" i="8"/>
  <c r="AB16" i="8"/>
  <c r="AB15" i="8"/>
  <c r="AB12" i="8"/>
  <c r="AB9" i="8"/>
  <c r="Y6" i="8"/>
  <c r="AC6" i="8"/>
  <c r="AA6" i="8"/>
  <c r="Z6" i="8"/>
  <c r="AB5" i="8"/>
  <c r="AB4" i="8"/>
  <c r="AB6" i="8" s="1"/>
  <c r="H17" i="19" l="1"/>
  <c r="AB17" i="17"/>
  <c r="W6" i="19"/>
  <c r="R6" i="19"/>
  <c r="M6" i="19"/>
  <c r="W17" i="19"/>
  <c r="AB6" i="17"/>
  <c r="R6" i="17"/>
  <c r="H6" i="17"/>
  <c r="M6" i="17"/>
  <c r="M17" i="17"/>
  <c r="R17" i="17"/>
  <c r="W6" i="17"/>
  <c r="W17" i="17"/>
  <c r="H17" i="17"/>
  <c r="W6" i="16"/>
  <c r="M17" i="16"/>
  <c r="H6" i="16"/>
  <c r="R6" i="16"/>
  <c r="M6" i="16"/>
  <c r="H17" i="16"/>
  <c r="R6" i="15"/>
  <c r="H6" i="15"/>
  <c r="H17" i="15"/>
  <c r="M17" i="15"/>
  <c r="R17" i="15"/>
  <c r="M6" i="15"/>
  <c r="AB17" i="12"/>
  <c r="W17" i="12"/>
  <c r="W6" i="12"/>
  <c r="R6" i="12"/>
  <c r="H17" i="12"/>
  <c r="AB6" i="12"/>
  <c r="M17" i="12"/>
  <c r="R17" i="12"/>
  <c r="H6" i="12"/>
  <c r="M6" i="12"/>
  <c r="W6" i="10"/>
  <c r="R6" i="10"/>
  <c r="W6" i="9"/>
  <c r="R6" i="9"/>
  <c r="H6" i="9"/>
  <c r="H19" i="9"/>
  <c r="M6" i="9"/>
  <c r="AB19" i="8"/>
  <c r="U19" i="8"/>
  <c r="Q19" i="8"/>
  <c r="P19" i="8"/>
  <c r="L19" i="8"/>
  <c r="K19" i="8"/>
  <c r="E19" i="8"/>
  <c r="I19" i="8"/>
  <c r="G19" i="8"/>
  <c r="F19" i="8"/>
  <c r="AE18" i="8"/>
  <c r="W18" i="8"/>
  <c r="R18" i="8"/>
  <c r="M18" i="8"/>
  <c r="H18" i="8"/>
  <c r="AE17" i="8"/>
  <c r="W17" i="8"/>
  <c r="R17" i="8"/>
  <c r="M17" i="8"/>
  <c r="H17" i="8"/>
  <c r="AE16" i="8"/>
  <c r="W16" i="8"/>
  <c r="R16" i="8"/>
  <c r="M16" i="8"/>
  <c r="H16" i="8"/>
  <c r="AE15" i="8"/>
  <c r="W15" i="8"/>
  <c r="R15" i="8"/>
  <c r="M15" i="8"/>
  <c r="H15" i="8"/>
  <c r="AE12" i="8"/>
  <c r="W12" i="8"/>
  <c r="R12" i="8"/>
  <c r="M12" i="8"/>
  <c r="H12" i="8"/>
  <c r="AE9" i="8"/>
  <c r="W9" i="8"/>
  <c r="R9" i="8"/>
  <c r="M9" i="8"/>
  <c r="H9" i="8"/>
  <c r="T6" i="8"/>
  <c r="X6" i="8"/>
  <c r="V6" i="8"/>
  <c r="U6" i="8"/>
  <c r="O6" i="8"/>
  <c r="S6" i="8"/>
  <c r="Q6" i="8"/>
  <c r="P6" i="8"/>
  <c r="J6" i="8"/>
  <c r="N6" i="8"/>
  <c r="L6" i="8"/>
  <c r="K6" i="8"/>
  <c r="E6" i="8"/>
  <c r="I6" i="8"/>
  <c r="G6" i="8"/>
  <c r="F6" i="8"/>
  <c r="AE5" i="8"/>
  <c r="W5" i="8"/>
  <c r="R5" i="8"/>
  <c r="M5" i="8"/>
  <c r="H5" i="8"/>
  <c r="W4" i="8"/>
  <c r="R4" i="8"/>
  <c r="M4" i="8"/>
  <c r="H4" i="8"/>
  <c r="Y15" i="6"/>
  <c r="M6" i="8" l="1"/>
  <c r="W6" i="8"/>
  <c r="R6" i="8"/>
  <c r="H19" i="8"/>
  <c r="H6" i="8"/>
  <c r="L19" i="6" l="1"/>
  <c r="K19" i="6"/>
  <c r="K6" i="6"/>
  <c r="G6" i="6"/>
  <c r="K11" i="7"/>
  <c r="K22" i="7"/>
  <c r="Y16" i="6"/>
  <c r="Z16" i="6" s="1"/>
  <c r="Y17" i="6"/>
  <c r="Z17" i="6" s="1"/>
  <c r="Y18" i="6"/>
  <c r="Z18" i="6" s="1"/>
  <c r="Z15" i="6"/>
  <c r="Y9" i="6"/>
  <c r="Z9" i="6" s="1"/>
  <c r="Y5" i="6"/>
  <c r="Z5" i="6" s="1"/>
  <c r="Y4" i="6"/>
  <c r="Z4" i="6" s="1"/>
  <c r="Y17" i="4"/>
  <c r="Z17" i="4" s="1"/>
  <c r="Y18" i="4"/>
  <c r="Z18" i="4" s="1"/>
  <c r="Y19" i="4"/>
  <c r="Z19" i="4"/>
  <c r="Y16" i="4"/>
  <c r="Y13" i="4"/>
  <c r="Z13" i="4" s="1"/>
  <c r="Y12" i="4"/>
  <c r="Z12" i="4" s="1"/>
  <c r="Y9" i="4"/>
  <c r="Z9" i="4" s="1"/>
  <c r="Y5" i="4"/>
  <c r="Z5" i="4" s="1"/>
  <c r="Y4" i="4"/>
  <c r="Z4" i="4" s="1"/>
  <c r="Y4" i="1"/>
  <c r="Z4" i="1" s="1"/>
  <c r="Y17" i="1"/>
  <c r="Z17" i="1" s="1"/>
  <c r="Y18" i="1"/>
  <c r="Z18" i="1" s="1"/>
  <c r="Y19" i="1"/>
  <c r="Z19" i="1" s="1"/>
  <c r="Y16" i="1"/>
  <c r="Y12" i="1"/>
  <c r="Z12" i="1" s="1"/>
  <c r="Y9" i="1"/>
  <c r="Z9" i="1" s="1"/>
  <c r="Y5" i="1"/>
  <c r="Z5" i="1" s="1"/>
  <c r="Z16" i="4" l="1"/>
  <c r="Y20" i="4"/>
  <c r="Z16" i="1"/>
  <c r="Y20" i="1"/>
  <c r="K47" i="7"/>
  <c r="L47" i="7" s="1"/>
  <c r="K46" i="7"/>
  <c r="L46" i="7" s="1"/>
  <c r="K45" i="7"/>
  <c r="L45" i="7" s="1"/>
  <c r="K44" i="7"/>
  <c r="L44" i="7" s="1"/>
  <c r="G37" i="7"/>
  <c r="F37" i="7"/>
  <c r="E37" i="7"/>
  <c r="G36" i="7"/>
  <c r="F36" i="7"/>
  <c r="E36" i="7"/>
  <c r="G35" i="7"/>
  <c r="F35" i="7"/>
  <c r="E35" i="7"/>
  <c r="G34" i="7"/>
  <c r="F34" i="7"/>
  <c r="E34" i="7"/>
  <c r="K29" i="7"/>
  <c r="L29" i="7" s="1"/>
  <c r="D37" i="7"/>
  <c r="D36" i="7"/>
  <c r="D35" i="7"/>
  <c r="D34" i="7"/>
  <c r="L19" i="7"/>
  <c r="L22" i="7" s="1"/>
  <c r="G15" i="7"/>
  <c r="F15" i="7"/>
  <c r="E15" i="7"/>
  <c r="L12" i="7"/>
  <c r="C12" i="7"/>
  <c r="D15" i="7" s="1"/>
  <c r="G9" i="7"/>
  <c r="F9" i="7"/>
  <c r="E9" i="7"/>
  <c r="G8" i="7"/>
  <c r="F8" i="7"/>
  <c r="E8" i="7"/>
  <c r="C5" i="7"/>
  <c r="D9" i="7" s="1"/>
  <c r="C3" i="7"/>
  <c r="D8" i="7" s="1"/>
  <c r="I6" i="6" l="1"/>
  <c r="U19" i="6"/>
  <c r="Q19" i="6"/>
  <c r="P19" i="6"/>
  <c r="E19" i="6"/>
  <c r="I19" i="6"/>
  <c r="G19" i="6"/>
  <c r="F19" i="6"/>
  <c r="W18" i="6"/>
  <c r="R18" i="6"/>
  <c r="M18" i="6"/>
  <c r="H18" i="6"/>
  <c r="W17" i="6"/>
  <c r="R17" i="6"/>
  <c r="M17" i="6"/>
  <c r="H17" i="6"/>
  <c r="W16" i="6"/>
  <c r="R16" i="6"/>
  <c r="M16" i="6"/>
  <c r="H16" i="6"/>
  <c r="W15" i="6"/>
  <c r="R15" i="6"/>
  <c r="M15" i="6"/>
  <c r="H15" i="6"/>
  <c r="Y12" i="6"/>
  <c r="Z12" i="6" s="1"/>
  <c r="W12" i="6"/>
  <c r="R12" i="6"/>
  <c r="M12" i="6"/>
  <c r="H12" i="6"/>
  <c r="W9" i="6"/>
  <c r="R9" i="6"/>
  <c r="M9" i="6"/>
  <c r="H9" i="6"/>
  <c r="T6" i="6"/>
  <c r="X6" i="6"/>
  <c r="V6" i="6"/>
  <c r="U6" i="6"/>
  <c r="O6" i="6"/>
  <c r="S6" i="6"/>
  <c r="Q6" i="6"/>
  <c r="P6" i="6"/>
  <c r="J6" i="6"/>
  <c r="N6" i="6"/>
  <c r="L6" i="6"/>
  <c r="E6" i="6"/>
  <c r="F6" i="6"/>
  <c r="W5" i="6"/>
  <c r="R5" i="6"/>
  <c r="M5" i="6"/>
  <c r="H5" i="6"/>
  <c r="W4" i="6"/>
  <c r="R4" i="6"/>
  <c r="M4" i="6"/>
  <c r="H4" i="6"/>
  <c r="L6" i="4"/>
  <c r="W6" i="6" l="1"/>
  <c r="R6" i="6"/>
  <c r="M6" i="6"/>
  <c r="H19" i="6"/>
  <c r="H6" i="6"/>
  <c r="V6" i="4"/>
  <c r="U6" i="4"/>
  <c r="N31" i="5" l="1"/>
  <c r="N32" i="5"/>
  <c r="N33" i="5"/>
  <c r="N30" i="5"/>
  <c r="N29" i="5"/>
  <c r="N28" i="5"/>
  <c r="N27" i="5"/>
  <c r="N26" i="5"/>
  <c r="N25" i="5"/>
  <c r="N14" i="5"/>
  <c r="M25" i="5" s="1"/>
  <c r="N22" i="5"/>
  <c r="M33" i="5" s="1"/>
  <c r="N21" i="5"/>
  <c r="M32" i="5" s="1"/>
  <c r="N20" i="5"/>
  <c r="M31" i="5" s="1"/>
  <c r="N19" i="5"/>
  <c r="M30" i="5" s="1"/>
  <c r="N18" i="5"/>
  <c r="M29" i="5" s="1"/>
  <c r="N17" i="5"/>
  <c r="M28" i="5" s="1"/>
  <c r="N16" i="5"/>
  <c r="M27" i="5" s="1"/>
  <c r="N15" i="5"/>
  <c r="M26" i="5" s="1"/>
  <c r="N7" i="5"/>
  <c r="M18" i="5" s="1"/>
  <c r="O18" i="5" s="1"/>
  <c r="W13" i="4"/>
  <c r="O31" i="5" l="1"/>
  <c r="O32" i="5"/>
  <c r="O33" i="5"/>
  <c r="O26" i="5"/>
  <c r="O27" i="5"/>
  <c r="O28" i="5"/>
  <c r="O29" i="5"/>
  <c r="O30" i="5"/>
  <c r="O25" i="5"/>
  <c r="M9" i="4"/>
  <c r="M13" i="4"/>
  <c r="R13" i="4"/>
  <c r="U20" i="4"/>
  <c r="Q6" i="4"/>
  <c r="P6" i="4"/>
  <c r="P20" i="4"/>
  <c r="Q20" i="4"/>
  <c r="G20" i="4"/>
  <c r="I20" i="4"/>
  <c r="E20" i="4"/>
  <c r="T20" i="1"/>
  <c r="X20" i="1"/>
  <c r="O20" i="1"/>
  <c r="S20" i="1"/>
  <c r="J20" i="1"/>
  <c r="N20" i="1"/>
  <c r="I20" i="1"/>
  <c r="E20" i="1"/>
  <c r="D20" i="1"/>
  <c r="N11" i="5"/>
  <c r="N10" i="5"/>
  <c r="N9" i="5"/>
  <c r="N8" i="5"/>
  <c r="N6" i="5"/>
  <c r="N5" i="5"/>
  <c r="N4" i="5"/>
  <c r="N3" i="5"/>
  <c r="M11" i="5"/>
  <c r="M10" i="5"/>
  <c r="M9" i="5"/>
  <c r="M8" i="5"/>
  <c r="M7" i="5"/>
  <c r="O7" i="5" s="1"/>
  <c r="M6" i="5"/>
  <c r="M5" i="5"/>
  <c r="M4" i="5"/>
  <c r="M3" i="5"/>
  <c r="L4" i="5"/>
  <c r="K4" i="5"/>
  <c r="L3" i="5"/>
  <c r="F20" i="4"/>
  <c r="F6" i="4"/>
  <c r="W19" i="4"/>
  <c r="R19" i="4"/>
  <c r="M19" i="4"/>
  <c r="H19" i="4"/>
  <c r="W18" i="4"/>
  <c r="R18" i="4"/>
  <c r="M18" i="4"/>
  <c r="H18" i="4"/>
  <c r="W17" i="4"/>
  <c r="R17" i="4"/>
  <c r="M17" i="4"/>
  <c r="H17" i="4"/>
  <c r="W16" i="4"/>
  <c r="R16" i="4"/>
  <c r="M16" i="4"/>
  <c r="H16" i="4"/>
  <c r="H13" i="4"/>
  <c r="L6" i="5"/>
  <c r="W12" i="4"/>
  <c r="R12" i="4"/>
  <c r="M12" i="4"/>
  <c r="H12" i="4"/>
  <c r="L5" i="5"/>
  <c r="W9" i="4"/>
  <c r="R9" i="4"/>
  <c r="H9" i="4"/>
  <c r="T6" i="4"/>
  <c r="X6" i="4"/>
  <c r="O6" i="4"/>
  <c r="S6" i="4"/>
  <c r="J6" i="4"/>
  <c r="N6" i="4"/>
  <c r="E6" i="4"/>
  <c r="I6" i="4"/>
  <c r="G6" i="4"/>
  <c r="W5" i="4"/>
  <c r="R5" i="4"/>
  <c r="M5" i="4"/>
  <c r="H5" i="4"/>
  <c r="W4" i="4"/>
  <c r="R4" i="4"/>
  <c r="R6" i="4" s="1"/>
  <c r="M4" i="4"/>
  <c r="H4" i="4"/>
  <c r="E6" i="1"/>
  <c r="I6" i="1"/>
  <c r="J6" i="1"/>
  <c r="N6" i="1"/>
  <c r="O6" i="1"/>
  <c r="S6" i="1"/>
  <c r="T6" i="1"/>
  <c r="X6" i="1"/>
  <c r="R5" i="1"/>
  <c r="W4" i="1"/>
  <c r="H4" i="1"/>
  <c r="M19" i="1"/>
  <c r="M18" i="1"/>
  <c r="M17" i="1"/>
  <c r="M16" i="1"/>
  <c r="M20" i="1" s="1"/>
  <c r="M13" i="1"/>
  <c r="M12" i="1"/>
  <c r="M9" i="1"/>
  <c r="M5" i="1"/>
  <c r="M4" i="1"/>
  <c r="M6" i="1" s="1"/>
  <c r="R19" i="1"/>
  <c r="R18" i="1"/>
  <c r="R17" i="1"/>
  <c r="R16" i="1"/>
  <c r="R13" i="1"/>
  <c r="R12" i="1"/>
  <c r="R9" i="1"/>
  <c r="R4" i="1"/>
  <c r="R6" i="1" s="1"/>
  <c r="W19" i="1"/>
  <c r="W18" i="1"/>
  <c r="W17" i="1"/>
  <c r="W16" i="1"/>
  <c r="W13" i="1"/>
  <c r="W12" i="1"/>
  <c r="W9" i="1"/>
  <c r="W5" i="1"/>
  <c r="W6" i="1"/>
  <c r="H16" i="1"/>
  <c r="H17" i="1"/>
  <c r="H18" i="1"/>
  <c r="H19" i="1"/>
  <c r="Y13" i="1"/>
  <c r="Z13" i="1" s="1"/>
  <c r="H9" i="1"/>
  <c r="H13" i="1"/>
  <c r="H12" i="1"/>
  <c r="H5" i="1"/>
  <c r="H6" i="1" s="1"/>
  <c r="W6" i="4" l="1"/>
  <c r="H20" i="4"/>
  <c r="W20" i="1"/>
  <c r="R20" i="1"/>
  <c r="H20" i="1"/>
  <c r="O3" i="5"/>
  <c r="M14" i="5"/>
  <c r="O14" i="5" s="1"/>
  <c r="O4" i="5"/>
  <c r="M15" i="5"/>
  <c r="O15" i="5" s="1"/>
  <c r="O5" i="5"/>
  <c r="M16" i="5"/>
  <c r="O16" i="5" s="1"/>
  <c r="O6" i="5"/>
  <c r="M17" i="5"/>
  <c r="O17" i="5" s="1"/>
  <c r="O8" i="5"/>
  <c r="M19" i="5"/>
  <c r="O19" i="5" s="1"/>
  <c r="H6" i="4"/>
  <c r="O9" i="5"/>
  <c r="M20" i="5"/>
  <c r="O20" i="5" s="1"/>
  <c r="O10" i="5"/>
  <c r="M21" i="5"/>
  <c r="O21" i="5" s="1"/>
  <c r="O11" i="5"/>
  <c r="M22" i="5"/>
  <c r="O22" i="5" s="1"/>
  <c r="K3" i="5"/>
  <c r="K6" i="5"/>
  <c r="K5" i="5"/>
  <c r="M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leycy</author>
  </authors>
  <commentList>
    <comment ref="C9" authorId="0" shapeId="0" xr:uid="{02F365F5-7FA0-48A6-831E-824865AB3F1A}">
      <text>
        <r>
          <rPr>
            <b/>
            <sz val="9"/>
            <color indexed="81"/>
            <rFont val="Tahoma"/>
            <family val="2"/>
          </rPr>
          <t>leycy:</t>
        </r>
        <r>
          <rPr>
            <sz val="9"/>
            <color indexed="81"/>
            <rFont val="Tahoma"/>
            <family val="2"/>
          </rPr>
          <t xml:space="preserve">
incremento de latam 100 servicios diarios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leycy</author>
  </authors>
  <commentList>
    <comment ref="C9" authorId="0" shapeId="0" xr:uid="{C8F12DF2-33E5-4E1A-BBC0-1338AA69F650}">
      <text>
        <r>
          <rPr>
            <b/>
            <sz val="9"/>
            <color indexed="81"/>
            <rFont val="Tahoma"/>
            <family val="2"/>
          </rPr>
          <t>leycy:</t>
        </r>
        <r>
          <rPr>
            <sz val="9"/>
            <color indexed="81"/>
            <rFont val="Tahoma"/>
            <family val="2"/>
          </rPr>
          <t xml:space="preserve">
incremento de latam 100 servicios diarios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leycy</author>
  </authors>
  <commentList>
    <comment ref="C9" authorId="0" shapeId="0" xr:uid="{07CA3C28-22C1-431A-9DD1-D8C6334D9938}">
      <text>
        <r>
          <rPr>
            <b/>
            <sz val="9"/>
            <color indexed="81"/>
            <rFont val="Tahoma"/>
            <family val="2"/>
          </rPr>
          <t>leycy:</t>
        </r>
        <r>
          <rPr>
            <sz val="9"/>
            <color indexed="81"/>
            <rFont val="Tahoma"/>
            <family val="2"/>
          </rPr>
          <t xml:space="preserve">
incremento de latam 100 servicios diarios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leycy</author>
  </authors>
  <commentList>
    <comment ref="C9" authorId="0" shapeId="0" xr:uid="{DDF57851-1CAD-4565-AF70-8362381174E1}">
      <text>
        <r>
          <rPr>
            <b/>
            <sz val="9"/>
            <color indexed="81"/>
            <rFont val="Tahoma"/>
            <family val="2"/>
          </rPr>
          <t>leycy:</t>
        </r>
        <r>
          <rPr>
            <sz val="9"/>
            <color indexed="81"/>
            <rFont val="Tahoma"/>
            <family val="2"/>
          </rPr>
          <t xml:space="preserve">
incremento de latam 100 servicios diarios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leycy</author>
  </authors>
  <commentList>
    <comment ref="C9" authorId="0" shapeId="0" xr:uid="{E5473F82-D198-40B4-BB70-43B19D7FCEF0}">
      <text>
        <r>
          <rPr>
            <b/>
            <sz val="9"/>
            <color indexed="81"/>
            <rFont val="Tahoma"/>
            <family val="2"/>
          </rPr>
          <t>leycy:</t>
        </r>
        <r>
          <rPr>
            <sz val="9"/>
            <color indexed="81"/>
            <rFont val="Tahoma"/>
            <family val="2"/>
          </rPr>
          <t xml:space="preserve">
incremento de latam 100 servicios diarios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leycy</author>
  </authors>
  <commentList>
    <comment ref="C9" authorId="0" shapeId="0" xr:uid="{CAB20616-F9FE-4084-8AA5-59450C2EA81F}">
      <text>
        <r>
          <rPr>
            <b/>
            <sz val="9"/>
            <color indexed="81"/>
            <rFont val="Tahoma"/>
            <family val="2"/>
          </rPr>
          <t>leycy:</t>
        </r>
        <r>
          <rPr>
            <sz val="9"/>
            <color indexed="81"/>
            <rFont val="Tahoma"/>
            <family val="2"/>
          </rPr>
          <t xml:space="preserve">
incremento de latam 100 servicios diarios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leycy</author>
  </authors>
  <commentList>
    <comment ref="D8" authorId="0" shapeId="0" xr:uid="{5C7D51E0-1663-4299-83C9-0AC1A0F9646D}">
      <text>
        <r>
          <rPr>
            <b/>
            <sz val="9"/>
            <color indexed="81"/>
            <rFont val="Tahoma"/>
            <family val="2"/>
          </rPr>
          <t>14 rotación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8" authorId="0" shapeId="0" xr:uid="{8F340860-6D52-4B7E-B7B2-3961AFF03439}">
      <text>
        <r>
          <rPr>
            <b/>
            <sz val="9"/>
            <color indexed="81"/>
            <rFont val="Tahoma"/>
            <family val="2"/>
          </rPr>
          <t>6%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8" authorId="0" shapeId="0" xr:uid="{ED4A68BD-2680-4B24-B6F1-3C4990293D9F}">
      <text>
        <r>
          <rPr>
            <b/>
            <sz val="9"/>
            <color indexed="81"/>
            <rFont val="Tahoma"/>
            <family val="2"/>
          </rPr>
          <t>6%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" authorId="0" shapeId="0" xr:uid="{34053AA8-EEC8-4558-A313-5DEEF7153F8B}">
      <text>
        <r>
          <rPr>
            <b/>
            <sz val="9"/>
            <color indexed="81"/>
            <rFont val="Tahoma"/>
            <family val="2"/>
          </rPr>
          <t>6%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8" authorId="0" shapeId="0" xr:uid="{D5F8DFA6-B27E-4372-84DE-9A966FBB1FA2}">
      <text>
        <r>
          <rPr>
            <b/>
            <sz val="9"/>
            <color indexed="81"/>
            <rFont val="Tahoma"/>
            <family val="2"/>
          </rPr>
          <t>14 rotación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8" authorId="0" shapeId="0" xr:uid="{45AFD15B-E928-430B-B870-30640D8C9CD1}">
      <text>
        <r>
          <rPr>
            <b/>
            <sz val="9"/>
            <color indexed="81"/>
            <rFont val="Tahoma"/>
            <family val="2"/>
          </rPr>
          <t>6%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" authorId="0" shapeId="0" xr:uid="{2518D46F-2D13-4824-A638-A264E9FA1A8B}">
      <text>
        <r>
          <rPr>
            <b/>
            <sz val="9"/>
            <color indexed="81"/>
            <rFont val="Tahoma"/>
            <family val="2"/>
          </rPr>
          <t>6%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8" authorId="0" shapeId="0" xr:uid="{6D24D988-1C00-4F31-8E68-EBBFFE067E39}">
      <text>
        <r>
          <rPr>
            <b/>
            <sz val="9"/>
            <color indexed="81"/>
            <rFont val="Tahoma"/>
            <family val="2"/>
          </rPr>
          <t>6%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1" authorId="0" shapeId="0" xr:uid="{88D9B3FD-E1FE-4128-B69B-FC15874B03F8}">
      <text>
        <r>
          <rPr>
            <b/>
            <sz val="9"/>
            <color indexed="81"/>
            <rFont val="Tahoma"/>
            <family val="2"/>
          </rPr>
          <t>14 rotación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1" authorId="0" shapeId="0" xr:uid="{353BDDB5-3CA5-4FBB-8CEB-31927C1818AA}">
      <text>
        <r>
          <rPr>
            <b/>
            <sz val="9"/>
            <color indexed="81"/>
            <rFont val="Tahoma"/>
            <family val="2"/>
          </rPr>
          <t>6%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8" authorId="1" shapeId="0" xr:uid="{014DD628-9D5F-4BFE-8F21-582A28526394}">
      <text>
        <r>
          <rPr>
            <b/>
            <sz val="9"/>
            <color indexed="81"/>
            <rFont val="Tahoma"/>
            <family val="2"/>
          </rPr>
          <t>leycy:</t>
        </r>
        <r>
          <rPr>
            <sz val="9"/>
            <color indexed="81"/>
            <rFont val="Tahoma"/>
            <family val="2"/>
          </rPr>
          <t xml:space="preserve">
20 de rotacion 20 nuevos
</t>
        </r>
      </text>
    </comment>
  </commentList>
</comments>
</file>

<file path=xl/sharedStrings.xml><?xml version="1.0" encoding="utf-8"?>
<sst xmlns="http://schemas.openxmlformats.org/spreadsheetml/2006/main" count="1675" uniqueCount="165">
  <si>
    <t>Afiliación</t>
  </si>
  <si>
    <t>Ope proy</t>
  </si>
  <si>
    <t>Solicitud
Nuevos</t>
  </si>
  <si>
    <t>Solicitud
Reconectados</t>
  </si>
  <si>
    <t>Activas</t>
  </si>
  <si>
    <t>Bolsa</t>
  </si>
  <si>
    <t>nuevos</t>
  </si>
  <si>
    <t>Total</t>
  </si>
  <si>
    <t>congelas</t>
  </si>
  <si>
    <t>Nuevos</t>
  </si>
  <si>
    <t>Total cumplimiento</t>
  </si>
  <si>
    <t>% de cumplimiento</t>
  </si>
  <si>
    <t>Aeropuerto Auto</t>
  </si>
  <si>
    <t>Aeropuerto Van</t>
  </si>
  <si>
    <t>Total Flota</t>
  </si>
  <si>
    <t>bolsa</t>
  </si>
  <si>
    <t>nuevo</t>
  </si>
  <si>
    <t>Aerolíneas Auto</t>
  </si>
  <si>
    <t>Ciudad</t>
  </si>
  <si>
    <t>Plazas</t>
  </si>
  <si>
    <t>Jockey</t>
  </si>
  <si>
    <t>Bellavista</t>
  </si>
  <si>
    <t>Total flota</t>
  </si>
  <si>
    <t>07/07/2025 - Sem 28</t>
  </si>
  <si>
    <t>14/07/2025 -  Sem 29</t>
  </si>
  <si>
    <t>21/07/2025 - Sem30</t>
  </si>
  <si>
    <t>28/07/2025 - Sem 31</t>
  </si>
  <si>
    <t>02/06/2025 - Sem 21</t>
  </si>
  <si>
    <t>09/06/2025 -  Sem 22</t>
  </si>
  <si>
    <t>16/06/2025 - Sem 23</t>
  </si>
  <si>
    <t>23/06/2025 - Sem 24</t>
  </si>
  <si>
    <t>30/06/2025 - Sem 25</t>
  </si>
  <si>
    <t>La Marina</t>
  </si>
  <si>
    <t>Angamos</t>
  </si>
  <si>
    <t>05/05/2025 - Sem 17</t>
  </si>
  <si>
    <t>12/05/2025 -  Sem 18</t>
  </si>
  <si>
    <t>19/05/2025 - Sem 19</t>
  </si>
  <si>
    <t>26/05/2025 - Sem 20</t>
  </si>
  <si>
    <t>7/04/2025 - Sem 13</t>
  </si>
  <si>
    <t>14/04/2025 -  Sem 14</t>
  </si>
  <si>
    <t>21/04/2025 - Sem 15</t>
  </si>
  <si>
    <t>28/04/2025 - Sem 16</t>
  </si>
  <si>
    <t>BASICS</t>
  </si>
  <si>
    <t>Semana 14</t>
  </si>
  <si>
    <t>Leads</t>
  </si>
  <si>
    <t>Antecedentes (BOLSA)</t>
  </si>
  <si>
    <t>Entrevista</t>
  </si>
  <si>
    <t>Proceso de capa</t>
  </si>
  <si>
    <t>Capacitacion Programada</t>
  </si>
  <si>
    <t>Capacitados (Nuevos)</t>
  </si>
  <si>
    <t>Activos (1er viaje)</t>
  </si>
  <si>
    <t>Metas de viajes (Sem)</t>
  </si>
  <si>
    <t># Cantidad con meta cumplida</t>
  </si>
  <si>
    <t>FLOTA ACTIVA Sem 13</t>
  </si>
  <si>
    <t>FLOTA ACTIVA Sem 14</t>
  </si>
  <si>
    <t>DIFERENCIA</t>
  </si>
  <si>
    <t>Semana 15</t>
  </si>
  <si>
    <t>FLOTA ACTIVA Sem 15</t>
  </si>
  <si>
    <t>Semana 16</t>
  </si>
  <si>
    <t>FLOTA ACTIVA Sem 16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</si>
  <si>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</si>
  <si>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</si>
  <si>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</si>
  <si>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</si>
  <si>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</si>
  <si>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</si>
  <si>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</si>
  <si>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</si>
  <si>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</si>
  <si>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Rotación</t>
  </si>
  <si>
    <t>Brecha de afilación</t>
  </si>
  <si>
    <t>Con Resultados Mayo</t>
  </si>
  <si>
    <t>Aerolínea Auto</t>
  </si>
  <si>
    <t>19+25</t>
  </si>
  <si>
    <t>Ciudad Auto</t>
  </si>
  <si>
    <t>Actividades</t>
  </si>
  <si>
    <t>Fechas</t>
  </si>
  <si>
    <t>Reclutar el staff</t>
  </si>
  <si>
    <t>Capacitación del Staff en plataforma Kusi (Visor, reportes de venta)</t>
  </si>
  <si>
    <t>Preparar el material de capacitación de conductor</t>
  </si>
  <si>
    <t>Capacitar flota actual y nueva flota</t>
  </si>
  <si>
    <t>1 y 3 Abril</t>
  </si>
  <si>
    <t>Poner en producción la Web de grupos grandes</t>
  </si>
  <si>
    <t>Actualizar el sistema con el nuevo tarifario 30% hora punta</t>
  </si>
  <si>
    <t>Campaña de uso de descaargas del app</t>
  </si>
  <si>
    <t>pdte</t>
  </si>
  <si>
    <t>Campaña de afiliación</t>
  </si>
  <si>
    <t>Flota propia</t>
  </si>
  <si>
    <t>Aeropuerto Real</t>
  </si>
  <si>
    <t>11/08/2025 -  Sem 33</t>
  </si>
  <si>
    <t>18/08/2025 - Sem 34</t>
  </si>
  <si>
    <t>25/08/2025 - Sem 35</t>
  </si>
  <si>
    <t>01/09/2025 - Sem 36</t>
  </si>
  <si>
    <t>08/09/2025 -  Sem 37</t>
  </si>
  <si>
    <t>15/09/2025 - Sem 38</t>
  </si>
  <si>
    <t>29/09/2025 - Sem 40</t>
  </si>
  <si>
    <t>22/09/2025 - Sem 39</t>
  </si>
  <si>
    <t>CIUDAD</t>
  </si>
  <si>
    <t>AEROPUERTO</t>
  </si>
  <si>
    <t>AEROLINEAS</t>
  </si>
  <si>
    <t>JOCKEY</t>
  </si>
  <si>
    <t>BELLAVISTA</t>
  </si>
  <si>
    <t>CANT.</t>
  </si>
  <si>
    <t>% DE CUMPLIMIENTO</t>
  </si>
  <si>
    <t>RQ OCTUBRE</t>
  </si>
  <si>
    <t>06/10/2025 - Sem 41</t>
  </si>
  <si>
    <t>13/10/2025 -  Sem 42</t>
  </si>
  <si>
    <t>20/10/2025 - Sem 43</t>
  </si>
  <si>
    <t>27/10/2025 - Sem 44</t>
  </si>
  <si>
    <t>Desactivados</t>
  </si>
  <si>
    <t>Retención</t>
  </si>
  <si>
    <t>Flota</t>
  </si>
  <si>
    <t>Total Activos</t>
  </si>
  <si>
    <t xml:space="preserve"> </t>
  </si>
  <si>
    <t>BOLSA SEM 20-24/10</t>
  </si>
  <si>
    <t>BOLSA SEM 27-31/10</t>
  </si>
  <si>
    <t>INGRESOS TODO OCT</t>
  </si>
  <si>
    <t>RQ NOVIEMBRE</t>
  </si>
  <si>
    <t>BOLSA SEM 03/07.11</t>
  </si>
  <si>
    <t>BOLSA SEM 10/14.11</t>
  </si>
  <si>
    <t>BOLSA SEMANA 17/21.11</t>
  </si>
  <si>
    <t>BOLSA 24/28.11</t>
  </si>
  <si>
    <t>PROYECCION DE INGRESO SEMANAL</t>
  </si>
  <si>
    <t>INGRESOS TODO NOV</t>
  </si>
  <si>
    <r>
      <t>10---</t>
    </r>
    <r>
      <rPr>
        <b/>
        <sz val="11"/>
        <color rgb="FFFF0000"/>
        <rFont val="Aptos Narrow"/>
        <family val="2"/>
        <scheme val="minor"/>
      </rPr>
      <t>(5 INGRESOS)</t>
    </r>
  </si>
  <si>
    <r>
      <t>11---</t>
    </r>
    <r>
      <rPr>
        <b/>
        <sz val="11"/>
        <color rgb="FFFF0000"/>
        <rFont val="Aptos Narrow"/>
        <family val="2"/>
        <scheme val="minor"/>
      </rPr>
      <t>(5 INGRESOS)</t>
    </r>
  </si>
  <si>
    <r>
      <t>9---</t>
    </r>
    <r>
      <rPr>
        <b/>
        <sz val="11"/>
        <color rgb="FFFF0000"/>
        <rFont val="Aptos Narrow"/>
        <family val="2"/>
        <scheme val="minor"/>
      </rPr>
      <t>(1 INGRESO)</t>
    </r>
  </si>
  <si>
    <r>
      <t>4---</t>
    </r>
    <r>
      <rPr>
        <b/>
        <sz val="11"/>
        <color rgb="FFFF0000"/>
        <rFont val="Aptos Narrow"/>
        <family val="2"/>
        <scheme val="minor"/>
      </rPr>
      <t>(2 INGRESOS)</t>
    </r>
  </si>
  <si>
    <r>
      <t>20---</t>
    </r>
    <r>
      <rPr>
        <b/>
        <sz val="11"/>
        <color rgb="FFFF0000"/>
        <rFont val="Aptos Narrow"/>
        <family val="2"/>
        <scheme val="minor"/>
      </rPr>
      <t>(5 INGRESOS)</t>
    </r>
  </si>
  <si>
    <r>
      <t>21---</t>
    </r>
    <r>
      <rPr>
        <b/>
        <sz val="11"/>
        <color rgb="FFFF0000"/>
        <rFont val="Aptos Narrow"/>
        <family val="2"/>
        <scheme val="minor"/>
      </rPr>
      <t>(7 INGRESOS)</t>
    </r>
  </si>
  <si>
    <t>RQ DICIEMBRE</t>
  </si>
  <si>
    <t>BOLSA 01-05/12</t>
  </si>
  <si>
    <t>01/12/2025 - Sem 32</t>
  </si>
  <si>
    <t xml:space="preserve">ingresos por mes </t>
  </si>
  <si>
    <t>Real Apto Auto</t>
  </si>
  <si>
    <t>RQ Apto Auto 2025</t>
  </si>
  <si>
    <t>RQ Apto Auto 2026</t>
  </si>
  <si>
    <t>Nuevos (30)</t>
  </si>
  <si>
    <t>Rotación (30)</t>
  </si>
  <si>
    <t>Enero</t>
  </si>
  <si>
    <t>Febrero</t>
  </si>
  <si>
    <t>Desactivados por mes</t>
  </si>
  <si>
    <t>29/12/2025 - Sem 52</t>
  </si>
  <si>
    <t>22/12/2025 - Sem 51</t>
  </si>
  <si>
    <t>15/12/2025 - Sem 50</t>
  </si>
  <si>
    <t>08/12/2025 -  Sem 49</t>
  </si>
  <si>
    <t>01/12/2025 - Sem 48</t>
  </si>
  <si>
    <t>24/11/2025 - Sem 47</t>
  </si>
  <si>
    <t>17/11/2025 - Sem 46</t>
  </si>
  <si>
    <t>10/11/2025 -  Sem 45</t>
  </si>
  <si>
    <t>03/11/2025 - Sem 44</t>
  </si>
  <si>
    <t>05/01/2026 - Sem 1</t>
  </si>
  <si>
    <t>12/01/2026 -  Sem 2</t>
  </si>
  <si>
    <t>19/01/2026 - Sem 3</t>
  </si>
  <si>
    <t>26/01/2026 - Sem 4</t>
  </si>
  <si>
    <t>RQ ENERO</t>
  </si>
  <si>
    <t>BOLSA 29/12-02/01</t>
  </si>
  <si>
    <t>BOLSA 05/01-09/01</t>
  </si>
  <si>
    <t>BOLSA 12/01-16/01</t>
  </si>
  <si>
    <t>INGRESOS ENERO</t>
  </si>
  <si>
    <t>-</t>
  </si>
  <si>
    <t>02/02/2026 - Sem 5</t>
  </si>
  <si>
    <t>09/02/2026 -  Sem 6</t>
  </si>
  <si>
    <t>16/02/2026 - Sem 7</t>
  </si>
  <si>
    <t>23/02/2026 - Sem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</si>
</sst>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4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ptos Narrow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BC7C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99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0" borderId="0" xfId="0" applyFont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/>
    <xf numFmtId="9" fontId="0" fillId="0" borderId="1" xfId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2" fillId="0" borderId="13" xfId="0" applyFont="1" applyBorder="1"/>
    <xf numFmtId="0" fontId="0" fillId="0" borderId="2" xfId="0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/>
    <xf numFmtId="0" fontId="0" fillId="4" borderId="1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4" borderId="3" xfId="0" applyFill="1" applyBorder="1"/>
    <xf numFmtId="0" fontId="0" fillId="4" borderId="5" xfId="0" applyFill="1" applyBorder="1" applyAlignment="1">
      <alignment horizontal="center"/>
    </xf>
    <xf numFmtId="0" fontId="4" fillId="0" borderId="0" xfId="0" applyFont="1"/>
    <xf numFmtId="9" fontId="0" fillId="0" borderId="0" xfId="1" applyFont="1" applyAlignment="1">
      <alignment horizontal="center"/>
    </xf>
    <xf numFmtId="0" fontId="0" fillId="4" borderId="4" xfId="0" applyFill="1" applyBorder="1"/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1" fontId="0" fillId="4" borderId="5" xfId="0" applyNumberForma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5" borderId="1" xfId="0" applyFill="1" applyBorder="1"/>
    <xf numFmtId="0" fontId="1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6" borderId="1" xfId="0" applyFill="1" applyBorder="1"/>
    <xf numFmtId="0" fontId="7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7" borderId="3" xfId="0" applyFill="1" applyBorder="1"/>
    <xf numFmtId="0" fontId="0" fillId="7" borderId="4" xfId="0" applyFill="1" applyBorder="1"/>
    <xf numFmtId="0" fontId="0" fillId="8" borderId="10" xfId="0" applyFill="1" applyBorder="1"/>
    <xf numFmtId="0" fontId="0" fillId="2" borderId="10" xfId="0" applyFill="1" applyBorder="1"/>
    <xf numFmtId="0" fontId="0" fillId="9" borderId="3" xfId="0" applyFill="1" applyBorder="1" applyAlignment="1">
      <alignment horizontal="left"/>
    </xf>
    <xf numFmtId="0" fontId="0" fillId="9" borderId="9" xfId="0" applyFill="1" applyBorder="1" applyAlignment="1">
      <alignment horizontal="left"/>
    </xf>
    <xf numFmtId="0" fontId="0" fillId="9" borderId="4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1" fontId="0" fillId="0" borderId="5" xfId="0" applyNumberFormat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9" fillId="11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" fontId="1" fillId="4" borderId="5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0" fillId="9" borderId="0" xfId="0" applyFill="1" applyAlignment="1">
      <alignment horizontal="left"/>
    </xf>
    <xf numFmtId="0" fontId="1" fillId="4" borderId="5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10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2" fillId="10" borderId="2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2" borderId="26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2" fillId="2" borderId="26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1" fillId="4" borderId="18" xfId="0" applyFont="1" applyFill="1" applyBorder="1"/>
    <xf numFmtId="0" fontId="2" fillId="10" borderId="2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17" fontId="0" fillId="0" borderId="15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4" borderId="32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9" fontId="0" fillId="0" borderId="0" xfId="1" applyFont="1"/>
    <xf numFmtId="0" fontId="0" fillId="4" borderId="4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0" fillId="7" borderId="33" xfId="0" applyFill="1" applyBorder="1"/>
    <xf numFmtId="0" fontId="0" fillId="0" borderId="19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8" fillId="16" borderId="1" xfId="0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/>
    </xf>
    <xf numFmtId="0" fontId="2" fillId="2" borderId="21" xfId="0" applyFont="1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8" xfId="0" applyBorder="1"/>
    <xf numFmtId="9" fontId="0" fillId="0" borderId="1" xfId="1" applyFont="1" applyBorder="1"/>
    <xf numFmtId="0" fontId="0" fillId="2" borderId="36" xfId="0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8" fillId="19" borderId="1" xfId="0" applyFont="1" applyFill="1" applyBorder="1" applyAlignment="1">
      <alignment horizontal="center"/>
    </xf>
    <xf numFmtId="0" fontId="13" fillId="15" borderId="38" xfId="0" applyFont="1" applyFill="1" applyBorder="1" applyAlignment="1">
      <alignment wrapText="1"/>
    </xf>
    <xf numFmtId="0" fontId="14" fillId="0" borderId="39" xfId="0" applyFont="1" applyBorder="1" applyAlignment="1">
      <alignment horizontal="center" wrapText="1"/>
    </xf>
    <xf numFmtId="0" fontId="2" fillId="0" borderId="40" xfId="0" applyFont="1" applyBorder="1"/>
    <xf numFmtId="0" fontId="0" fillId="0" borderId="4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6" borderId="1" xfId="0" applyFill="1" applyBorder="1" applyAlignment="1">
      <alignment horizontal="right"/>
    </xf>
    <xf numFmtId="0" fontId="0" fillId="0" borderId="42" xfId="0" applyBorder="1"/>
    <xf numFmtId="0" fontId="0" fillId="0" borderId="43" xfId="0" applyBorder="1"/>
    <xf numFmtId="0" fontId="0" fillId="6" borderId="9" xfId="0" applyFill="1" applyBorder="1"/>
    <xf numFmtId="0" fontId="0" fillId="6" borderId="25" xfId="0" applyFill="1" applyBorder="1" applyAlignment="1">
      <alignment horizontal="right"/>
    </xf>
    <xf numFmtId="0" fontId="0" fillId="0" borderId="9" xfId="0" applyBorder="1"/>
    <xf numFmtId="0" fontId="2" fillId="2" borderId="25" xfId="0" applyFont="1" applyFill="1" applyBorder="1" applyAlignment="1">
      <alignment horizontal="right"/>
    </xf>
    <xf numFmtId="0" fontId="0" fillId="0" borderId="25" xfId="0" applyBorder="1" applyAlignment="1">
      <alignment horizontal="right"/>
    </xf>
    <xf numFmtId="9" fontId="4" fillId="2" borderId="0" xfId="1" applyFont="1" applyFill="1"/>
    <xf numFmtId="0" fontId="1" fillId="0" borderId="2" xfId="0" applyFont="1" applyBorder="1"/>
    <xf numFmtId="0" fontId="1" fillId="0" borderId="27" xfId="0" applyFont="1" applyBorder="1"/>
    <xf numFmtId="0" fontId="0" fillId="2" borderId="1" xfId="0" applyFill="1" applyBorder="1"/>
    <xf numFmtId="0" fontId="0" fillId="0" borderId="26" xfId="0" applyBorder="1"/>
    <xf numFmtId="0" fontId="16" fillId="0" borderId="39" xfId="0" applyFont="1" applyBorder="1" applyAlignment="1">
      <alignment horizontal="center" wrapText="1"/>
    </xf>
    <xf numFmtId="0" fontId="14" fillId="0" borderId="44" xfId="0" applyFont="1" applyBorder="1" applyAlignment="1">
      <alignment horizontal="center" wrapText="1"/>
    </xf>
    <xf numFmtId="0" fontId="16" fillId="0" borderId="45" xfId="0" applyFont="1" applyBorder="1" applyAlignment="1">
      <alignment horizontal="center" wrapText="1"/>
    </xf>
    <xf numFmtId="0" fontId="14" fillId="0" borderId="46" xfId="0" applyFont="1" applyBorder="1" applyAlignment="1">
      <alignment horizontal="center" wrapText="1"/>
    </xf>
    <xf numFmtId="0" fontId="15" fillId="20" borderId="47" xfId="0" applyFont="1" applyFill="1" applyBorder="1" applyAlignment="1">
      <alignment horizontal="center" vertical="center" wrapText="1"/>
    </xf>
    <xf numFmtId="0" fontId="15" fillId="20" borderId="48" xfId="0" applyFont="1" applyFill="1" applyBorder="1" applyAlignment="1">
      <alignment vertical="center" wrapText="1"/>
    </xf>
    <xf numFmtId="0" fontId="15" fillId="20" borderId="48" xfId="0" applyFont="1" applyFill="1" applyBorder="1" applyAlignment="1">
      <alignment horizontal="center" vertical="center" wrapText="1"/>
    </xf>
    <xf numFmtId="0" fontId="15" fillId="20" borderId="49" xfId="0" applyFont="1" applyFill="1" applyBorder="1" applyAlignment="1">
      <alignment horizontal="center" vertical="center" wrapText="1"/>
    </xf>
    <xf numFmtId="16" fontId="8" fillId="11" borderId="22" xfId="0" applyNumberFormat="1" applyFont="1" applyFill="1" applyBorder="1" applyAlignment="1">
      <alignment horizontal="center" vertical="center"/>
    </xf>
    <xf numFmtId="16" fontId="8" fillId="11" borderId="23" xfId="0" applyNumberFormat="1" applyFont="1" applyFill="1" applyBorder="1" applyAlignment="1">
      <alignment horizontal="center" vertical="center"/>
    </xf>
    <xf numFmtId="16" fontId="2" fillId="3" borderId="22" xfId="0" applyNumberFormat="1" applyFont="1" applyFill="1" applyBorder="1" applyAlignment="1">
      <alignment horizontal="center"/>
    </xf>
    <xf numFmtId="16" fontId="2" fillId="3" borderId="23" xfId="0" applyNumberFormat="1" applyFont="1" applyFill="1" applyBorder="1" applyAlignment="1">
      <alignment horizontal="center"/>
    </xf>
    <xf numFmtId="16" fontId="2" fillId="3" borderId="24" xfId="0" applyNumberFormat="1" applyFont="1" applyFill="1" applyBorder="1" applyAlignment="1">
      <alignment horizontal="center"/>
    </xf>
    <xf numFmtId="16" fontId="2" fillId="12" borderId="23" xfId="0" applyNumberFormat="1" applyFont="1" applyFill="1" applyBorder="1" applyAlignment="1">
      <alignment horizontal="center"/>
    </xf>
    <xf numFmtId="16" fontId="2" fillId="12" borderId="24" xfId="0" applyNumberFormat="1" applyFont="1" applyFill="1" applyBorder="1" applyAlignment="1">
      <alignment horizontal="center"/>
    </xf>
    <xf numFmtId="16" fontId="2" fillId="13" borderId="22" xfId="0" applyNumberFormat="1" applyFont="1" applyFill="1" applyBorder="1" applyAlignment="1">
      <alignment horizontal="center" vertical="center" wrapText="1"/>
    </xf>
    <xf numFmtId="16" fontId="2" fillId="13" borderId="23" xfId="0" applyNumberFormat="1" applyFont="1" applyFill="1" applyBorder="1" applyAlignment="1">
      <alignment horizontal="center" vertical="center" wrapText="1"/>
    </xf>
    <xf numFmtId="16" fontId="2" fillId="13" borderId="24" xfId="0" applyNumberFormat="1" applyFont="1" applyFill="1" applyBorder="1" applyAlignment="1">
      <alignment horizontal="center" vertical="center" wrapText="1"/>
    </xf>
    <xf numFmtId="16" fontId="2" fillId="12" borderId="22" xfId="0" applyNumberFormat="1" applyFont="1" applyFill="1" applyBorder="1" applyAlignment="1">
      <alignment horizontal="center"/>
    </xf>
    <xf numFmtId="0" fontId="0" fillId="17" borderId="27" xfId="0" applyFill="1" applyBorder="1" applyAlignment="1">
      <alignment horizontal="center" vertical="center"/>
    </xf>
    <xf numFmtId="0" fontId="0" fillId="17" borderId="35" xfId="0" applyFill="1" applyBorder="1" applyAlignment="1">
      <alignment horizontal="center" vertical="center"/>
    </xf>
    <xf numFmtId="0" fontId="0" fillId="17" borderId="26" xfId="0" applyFill="1" applyBorder="1" applyAlignment="1">
      <alignment horizontal="center" vertical="center"/>
    </xf>
    <xf numFmtId="0" fontId="0" fillId="17" borderId="36" xfId="0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16" fontId="8" fillId="11" borderId="18" xfId="0" applyNumberFormat="1" applyFont="1" applyFill="1" applyBorder="1" applyAlignment="1">
      <alignment horizontal="center" vertical="center"/>
    </xf>
    <xf numFmtId="16" fontId="2" fillId="3" borderId="16" xfId="0" applyNumberFormat="1" applyFont="1" applyFill="1" applyBorder="1" applyAlignment="1">
      <alignment horizontal="center"/>
    </xf>
    <xf numFmtId="16" fontId="2" fillId="3" borderId="17" xfId="0" applyNumberFormat="1" applyFont="1" applyFill="1" applyBorder="1" applyAlignment="1">
      <alignment horizontal="center"/>
    </xf>
    <xf numFmtId="16" fontId="2" fillId="12" borderId="17" xfId="0" applyNumberFormat="1" applyFont="1" applyFill="1" applyBorder="1" applyAlignment="1">
      <alignment horizontal="center"/>
    </xf>
    <xf numFmtId="16" fontId="2" fillId="13" borderId="17" xfId="0" applyNumberFormat="1" applyFont="1" applyFill="1" applyBorder="1" applyAlignment="1">
      <alignment horizontal="center" vertical="center" wrapText="1"/>
    </xf>
    <xf numFmtId="16" fontId="2" fillId="3" borderId="50" xfId="0" applyNumberFormat="1" applyFont="1" applyFill="1" applyBorder="1" applyAlignment="1">
      <alignment horizontal="center"/>
    </xf>
    <xf numFmtId="16" fontId="8" fillId="11" borderId="50" xfId="0" applyNumberFormat="1" applyFont="1" applyFill="1" applyBorder="1" applyAlignment="1">
      <alignment horizontal="center" vertical="top"/>
    </xf>
    <xf numFmtId="16" fontId="2" fillId="3" borderId="50" xfId="0" applyNumberFormat="1" applyFont="1" applyFill="1" applyBorder="1" applyAlignment="1">
      <alignment horizontal="left"/>
    </xf>
    <xf numFmtId="16" fontId="2" fillId="12" borderId="50" xfId="0" applyNumberFormat="1" applyFont="1" applyFill="1" applyBorder="1" applyAlignment="1">
      <alignment horizontal="center"/>
    </xf>
    <xf numFmtId="16" fontId="2" fillId="12" borderId="50" xfId="0" applyNumberFormat="1" applyFont="1" applyFill="1" applyBorder="1" applyAlignment="1">
      <alignment horizontal="left"/>
    </xf>
    <xf numFmtId="16" fontId="8" fillId="11" borderId="50" xfId="0" applyNumberFormat="1" applyFont="1" applyFill="1" applyBorder="1" applyAlignment="1">
      <alignment horizontal="left" vertical="center"/>
    </xf>
    <xf numFmtId="16" fontId="2" fillId="13" borderId="50" xfId="0" applyNumberFormat="1" applyFont="1" applyFill="1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BC7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Gestión Afiliación</a:t>
            </a:r>
            <a:r>
              <a:rPr lang="es-PE" baseline="0"/>
              <a:t>  Apto 2025</a:t>
            </a:r>
            <a:endParaRPr lang="es-PE"/>
          </a:p>
        </c:rich>
      </c:tx>
      <c:layout>
        <c:manualLayout>
          <c:xMode val="edge"/>
          <c:yMode val="edge"/>
          <c:x val="0.27776377952755904"/>
          <c:y val="7.8703703703703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0013123359580053"/>
          <c:y val="0.32197351175274425"/>
          <c:w val="0.89452688606231912"/>
          <c:h val="0.539428192130142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Hoja2!$C$1:$J$1</c:f>
              <c:strCache>
                <c:ptCount val="8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Setiembre</c:v>
                </c:pt>
                <c:pt idx="6">
                  <c:v>Octubre</c:v>
                </c:pt>
                <c:pt idx="7">
                  <c:v>Noviembre</c:v>
                </c:pt>
              </c:strCache>
            </c:strRef>
          </c:cat>
          <c:val>
            <c:numRef>
              <c:f>Hoja2!$C$3:$J$3</c:f>
              <c:numCache>
                <c:formatCode>General</c:formatCode>
                <c:ptCount val="8"/>
                <c:pt idx="0">
                  <c:v>245</c:v>
                </c:pt>
                <c:pt idx="1">
                  <c:v>254</c:v>
                </c:pt>
                <c:pt idx="2">
                  <c:v>251</c:v>
                </c:pt>
                <c:pt idx="3">
                  <c:v>257</c:v>
                </c:pt>
                <c:pt idx="4">
                  <c:v>275</c:v>
                </c:pt>
                <c:pt idx="5">
                  <c:v>288</c:v>
                </c:pt>
                <c:pt idx="6">
                  <c:v>282</c:v>
                </c:pt>
                <c:pt idx="7">
                  <c:v>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F1-47FB-BA38-9DD88DAA7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0815376"/>
        <c:axId val="1940815856"/>
      </c:lineChart>
      <c:catAx>
        <c:axId val="19408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40815856"/>
        <c:crosses val="autoZero"/>
        <c:auto val="1"/>
        <c:lblAlgn val="ctr"/>
        <c:lblOffset val="100"/>
        <c:noMultiLvlLbl val="0"/>
      </c:catAx>
      <c:valAx>
        <c:axId val="194081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4081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409575</xdr:colOff>
      <xdr:row>0</xdr:row>
      <xdr:rowOff>103823</xdr:rowOff>
    </xdr:from>
    <xdr:to>
      <xdr:col>17</xdr:col>
      <xdr:colOff>219075</xdr:colOff>
      <xdr:row>9</xdr:row>
      <xdr:rowOff>102871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3E46A6-B948-CC10-D1A1-6297EE68B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695325</xdr:colOff>
      <xdr:row>13</xdr:row>
      <xdr:rowOff>85725</xdr:rowOff>
    </xdr:from>
    <xdr:to>
      <xdr:col>14</xdr:col>
      <xdr:colOff>692027</xdr:colOff>
      <xdr:row>104</xdr:row>
      <xdr:rowOff>61140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FE189E-28A1-7F17-AAD4-3DD7ED672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6975" y="2581275"/>
          <a:ext cx="5730752" cy="21566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GO%202025\Afiliaci&#243;n%20Marzo%202025.xlsx" TargetMode="External"/><Relationship Id="rId1" Type="http://schemas.openxmlformats.org/officeDocument/2006/relationships/externalLinkPath" Target="/Users/User/Desktop/GO%202025/Afiliaci&#243;n%20Marz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iliacion"/>
      <sheetName val="Proyección Abril - May - Junio"/>
      <sheetName val="Hoja1"/>
      <sheetName val="Hoja2"/>
      <sheetName val="Hoja3"/>
      <sheetName val="Mayo"/>
    </sheetNames>
    <sheetDataSet>
      <sheetData sheetId="0" refreshError="1">
        <row r="3">
          <cell r="E3">
            <v>254</v>
          </cell>
        </row>
        <row r="4">
          <cell r="E4">
            <v>16</v>
          </cell>
        </row>
        <row r="8">
          <cell r="E8">
            <v>133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0E2B-B2D2-40B4-924C-5FE8DE296630}">
  <dimension ref="B2:L17"/>
  <sheetViews>
    <sheetView zoomScale="110" zoomScaleNormal="110" workbookViewId="0">
      <selection activeCell="H24" sqref="H24"/>
    </sheetView>
  </sheetViews>
  <sheetFormatPr baseColWidth="10" defaultRowHeight="14.4" x14ac:dyDescent="0.3"/>
  <cols>
    <col min="2" max="2" width="15.6640625" bestFit="1" customWidth="1"/>
    <col min="3" max="4" width="8.33203125" customWidth="1"/>
    <col min="5" max="5" width="8.6640625" customWidth="1"/>
    <col min="6" max="6" width="9.33203125" customWidth="1"/>
    <col min="7" max="7" width="8.6640625" customWidth="1"/>
    <col min="8" max="8" width="9.44140625" customWidth="1"/>
    <col min="12" max="12" width="7.5546875" customWidth="1"/>
  </cols>
  <sheetData>
    <row r="2" spans="2:12" ht="15" thickBot="1" x14ac:dyDescent="0.35"/>
    <row r="3" spans="2:12" x14ac:dyDescent="0.3">
      <c r="B3" s="160" t="s">
        <v>0</v>
      </c>
      <c r="C3" s="161" t="s">
        <v>60</v>
      </c>
      <c r="D3" s="161" t="s">
        <v>61</v>
      </c>
      <c r="E3" s="161" t="s">
        <v>62</v>
      </c>
      <c r="F3" s="161" t="s">
        <v>63</v>
      </c>
      <c r="G3" s="161" t="s">
        <v>64</v>
      </c>
      <c r="H3" s="164" t="s">
        <v>65</v>
      </c>
      <c r="I3" s="164" t="s">
        <v>66</v>
      </c>
      <c r="J3" s="164" t="s">
        <v>67</v>
      </c>
      <c r="K3" s="165" t="s">
        <v>68</v>
      </c>
    </row>
    <row r="4" spans="2:12" x14ac:dyDescent="0.3">
      <c r="B4" s="166" t="s">
        <v>135</v>
      </c>
      <c r="C4" s="163">
        <v>254</v>
      </c>
      <c r="D4" s="163">
        <v>280</v>
      </c>
      <c r="E4" s="163">
        <v>320</v>
      </c>
      <c r="F4" s="163">
        <v>360</v>
      </c>
      <c r="G4" s="163">
        <v>400</v>
      </c>
      <c r="H4" s="163">
        <v>320</v>
      </c>
      <c r="I4" s="163">
        <v>360</v>
      </c>
      <c r="J4" s="163">
        <v>380</v>
      </c>
      <c r="K4" s="167">
        <v>420</v>
      </c>
    </row>
    <row r="5" spans="2:12" x14ac:dyDescent="0.3">
      <c r="B5" s="168" t="s">
        <v>134</v>
      </c>
      <c r="C5" s="162"/>
      <c r="D5" s="162">
        <v>245</v>
      </c>
      <c r="E5" s="162">
        <v>254</v>
      </c>
      <c r="F5" s="162">
        <v>251</v>
      </c>
      <c r="G5" s="162">
        <v>257</v>
      </c>
      <c r="H5" s="162">
        <v>275</v>
      </c>
      <c r="I5" s="162">
        <v>288</v>
      </c>
      <c r="J5" s="162">
        <v>282</v>
      </c>
      <c r="K5" s="169">
        <v>275</v>
      </c>
      <c r="L5" s="171">
        <f>+K5/K4</f>
        <v>0.65476190476190477</v>
      </c>
    </row>
    <row r="6" spans="2:12" x14ac:dyDescent="0.3">
      <c r="B6" s="168" t="s">
        <v>9</v>
      </c>
      <c r="C6" s="3"/>
      <c r="D6" s="162">
        <v>24</v>
      </c>
      <c r="E6" s="162">
        <v>22</v>
      </c>
      <c r="F6" s="162">
        <v>41</v>
      </c>
      <c r="G6" s="162">
        <v>28</v>
      </c>
      <c r="H6" s="162">
        <v>42</v>
      </c>
      <c r="I6" s="162">
        <v>50</v>
      </c>
      <c r="J6" s="162">
        <v>12</v>
      </c>
      <c r="K6" s="170">
        <v>17</v>
      </c>
    </row>
    <row r="7" spans="2:12" x14ac:dyDescent="0.3">
      <c r="B7" s="175" t="s">
        <v>69</v>
      </c>
      <c r="C7" s="15"/>
      <c r="D7" s="172">
        <f>+(D5+D6)-E5</f>
        <v>15</v>
      </c>
      <c r="E7" s="172">
        <f>+(E5+E6)-F5</f>
        <v>25</v>
      </c>
      <c r="F7" s="172">
        <f t="shared" ref="F7:J7" si="0">+(F5+F6)-G5</f>
        <v>35</v>
      </c>
      <c r="G7" s="172">
        <f t="shared" si="0"/>
        <v>10</v>
      </c>
      <c r="H7" s="172">
        <f t="shared" si="0"/>
        <v>29</v>
      </c>
      <c r="I7" s="172">
        <f t="shared" si="0"/>
        <v>56</v>
      </c>
      <c r="J7" s="172">
        <f t="shared" si="0"/>
        <v>19</v>
      </c>
      <c r="K7" s="173"/>
    </row>
    <row r="8" spans="2:12" x14ac:dyDescent="0.3">
      <c r="B8" s="3" t="s">
        <v>141</v>
      </c>
      <c r="C8" s="3"/>
      <c r="D8" s="174">
        <v>26</v>
      </c>
      <c r="E8" s="174">
        <v>19</v>
      </c>
      <c r="F8" s="174">
        <v>18</v>
      </c>
      <c r="G8" s="174">
        <v>7</v>
      </c>
      <c r="H8" s="174">
        <v>37</v>
      </c>
      <c r="I8" s="174">
        <v>44</v>
      </c>
      <c r="J8" s="174">
        <v>29</v>
      </c>
      <c r="K8" s="3"/>
    </row>
    <row r="14" spans="2:12" x14ac:dyDescent="0.3">
      <c r="C14" t="s">
        <v>139</v>
      </c>
      <c r="D14" t="s">
        <v>140</v>
      </c>
      <c r="E14" t="s">
        <v>60</v>
      </c>
    </row>
    <row r="15" spans="2:12" x14ac:dyDescent="0.3">
      <c r="B15" s="45" t="s">
        <v>136</v>
      </c>
      <c r="C15" s="45">
        <f>280+60</f>
        <v>340</v>
      </c>
      <c r="D15" s="45">
        <f>+C15+60</f>
        <v>400</v>
      </c>
      <c r="E15" s="45">
        <f>+D15+60</f>
        <v>460</v>
      </c>
    </row>
    <row r="16" spans="2:12" x14ac:dyDescent="0.3">
      <c r="B16" s="3" t="s">
        <v>137</v>
      </c>
      <c r="C16" s="3"/>
      <c r="D16" s="3"/>
      <c r="E16" s="3"/>
    </row>
    <row r="17" spans="2:5" x14ac:dyDescent="0.3">
      <c r="B17" s="3" t="s">
        <v>138</v>
      </c>
      <c r="C17" s="3"/>
      <c r="D17" s="3"/>
      <c r="E1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DFD53-CD26-4A0A-B16A-83D7438DCDCF}">
  <sheetPr>
    <tabColor rgb="FF7030A0"/>
  </sheetPr>
  <dimension ref="B1:Z17"/>
  <sheetViews>
    <sheetView showGridLines="0" zoomScale="88" zoomScaleNormal="88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7" sqref="E7"/>
    </sheetView>
  </sheetViews>
  <sheetFormatPr baseColWidth="10" defaultColWidth="11.44140625" defaultRowHeight="14.4" x14ac:dyDescent="0.3"/>
  <cols>
    <col min="1" max="1" width="3.109375" customWidth="1"/>
    <col min="2" max="2" width="15.33203125" customWidth="1"/>
    <col min="3" max="3" width="10.6640625" style="2" customWidth="1"/>
    <col min="4" max="4" width="14" style="2" customWidth="1"/>
    <col min="5" max="5" width="8.6640625" style="1" customWidth="1"/>
    <col min="6" max="7" width="8.6640625" style="2" customWidth="1"/>
    <col min="8" max="10" width="8.6640625" style="1" customWidth="1"/>
    <col min="11" max="12" width="8.6640625" customWidth="1"/>
    <col min="13" max="15" width="8.6640625" style="1" customWidth="1"/>
    <col min="16" max="17" width="8.6640625" customWidth="1"/>
    <col min="18" max="20" width="8.6640625" style="1" customWidth="1"/>
    <col min="21" max="22" width="8.6640625" customWidth="1"/>
    <col min="23" max="24" width="8.6640625" style="1" customWidth="1"/>
    <col min="25" max="25" width="15" customWidth="1"/>
    <col min="26" max="26" width="13" style="1" customWidth="1"/>
  </cols>
  <sheetData>
    <row r="1" spans="2:26" ht="15" thickBot="1" x14ac:dyDescent="0.35"/>
    <row r="2" spans="2:26" ht="14.4" customHeight="1" x14ac:dyDescent="0.3">
      <c r="B2" s="8" t="s">
        <v>0</v>
      </c>
      <c r="C2" s="2" t="s">
        <v>1</v>
      </c>
      <c r="E2" s="184" t="s">
        <v>161</v>
      </c>
      <c r="F2" s="185"/>
      <c r="G2" s="185"/>
      <c r="H2" s="185"/>
      <c r="I2" s="185"/>
      <c r="J2" s="186" t="s">
        <v>162</v>
      </c>
      <c r="K2" s="187"/>
      <c r="L2" s="187"/>
      <c r="M2" s="187"/>
      <c r="N2" s="188"/>
      <c r="O2" s="189" t="s">
        <v>163</v>
      </c>
      <c r="P2" s="189"/>
      <c r="Q2" s="189"/>
      <c r="R2" s="189"/>
      <c r="S2" s="190"/>
      <c r="T2" s="191" t="s">
        <v>164</v>
      </c>
      <c r="U2" s="192"/>
      <c r="V2" s="192"/>
      <c r="W2" s="192"/>
      <c r="X2" s="193"/>
    </row>
    <row r="3" spans="2:26" ht="38.25" customHeight="1" x14ac:dyDescent="0.3">
      <c r="B3" s="3"/>
      <c r="C3" s="59" t="s">
        <v>2</v>
      </c>
      <c r="D3" s="87" t="s">
        <v>3</v>
      </c>
      <c r="E3" s="92" t="s">
        <v>4</v>
      </c>
      <c r="F3" s="60" t="s">
        <v>5</v>
      </c>
      <c r="G3" s="60" t="s">
        <v>6</v>
      </c>
      <c r="H3" s="6" t="s">
        <v>7</v>
      </c>
      <c r="I3" s="109" t="s">
        <v>8</v>
      </c>
      <c r="J3" s="92" t="s">
        <v>4</v>
      </c>
      <c r="K3" s="11" t="s">
        <v>5</v>
      </c>
      <c r="L3" s="11" t="s">
        <v>9</v>
      </c>
      <c r="M3" s="6" t="s">
        <v>7</v>
      </c>
      <c r="N3" s="93" t="s">
        <v>8</v>
      </c>
      <c r="O3" s="146" t="s">
        <v>4</v>
      </c>
      <c r="P3" s="65" t="s">
        <v>5</v>
      </c>
      <c r="Q3" s="65" t="s">
        <v>9</v>
      </c>
      <c r="R3" s="6" t="s">
        <v>7</v>
      </c>
      <c r="S3" s="93" t="s">
        <v>8</v>
      </c>
      <c r="T3" s="92" t="s">
        <v>4</v>
      </c>
      <c r="U3" s="66" t="s">
        <v>5</v>
      </c>
      <c r="V3" s="66" t="s">
        <v>9</v>
      </c>
      <c r="W3" s="6" t="s">
        <v>7</v>
      </c>
      <c r="X3" s="93" t="s">
        <v>8</v>
      </c>
      <c r="Y3" s="114" t="s">
        <v>10</v>
      </c>
      <c r="Z3" s="59" t="s">
        <v>11</v>
      </c>
    </row>
    <row r="4" spans="2:26" x14ac:dyDescent="0.3">
      <c r="B4" s="3" t="s">
        <v>12</v>
      </c>
      <c r="C4" s="5">
        <v>60</v>
      </c>
      <c r="D4" s="88"/>
      <c r="E4" s="94">
        <v>252</v>
      </c>
      <c r="F4" s="46">
        <v>6</v>
      </c>
      <c r="G4" s="5"/>
      <c r="H4" s="4">
        <f>+I4+E4</f>
        <v>269</v>
      </c>
      <c r="I4" s="110">
        <v>17</v>
      </c>
      <c r="J4" s="97"/>
      <c r="K4" s="46"/>
      <c r="L4" s="5"/>
      <c r="M4" s="4"/>
      <c r="N4" s="151"/>
      <c r="O4" s="145"/>
      <c r="P4" s="5"/>
      <c r="Q4" s="5"/>
      <c r="R4" s="4">
        <f>+O4+S4</f>
        <v>0</v>
      </c>
      <c r="S4" s="95"/>
      <c r="T4" s="94"/>
      <c r="U4" s="5"/>
      <c r="V4" s="132"/>
      <c r="W4" s="4">
        <f>+X4+T4</f>
        <v>0</v>
      </c>
      <c r="X4" s="95"/>
      <c r="Y4" s="115">
        <f>+G4+L4+Q4+V4</f>
        <v>0</v>
      </c>
      <c r="Z4" s="13">
        <f>+Y4/(C4+D4)</f>
        <v>0</v>
      </c>
    </row>
    <row r="5" spans="2:26" x14ac:dyDescent="0.3">
      <c r="B5" s="15" t="s">
        <v>13</v>
      </c>
      <c r="C5" s="14"/>
      <c r="D5" s="89"/>
      <c r="E5" s="94">
        <v>19</v>
      </c>
      <c r="F5" s="14"/>
      <c r="G5" s="14"/>
      <c r="H5" s="17">
        <f>+E5+I5</f>
        <v>20</v>
      </c>
      <c r="I5" s="111">
        <v>1</v>
      </c>
      <c r="J5" s="154"/>
      <c r="K5" s="14"/>
      <c r="L5" s="14"/>
      <c r="M5" s="17"/>
      <c r="N5" s="98"/>
      <c r="O5" s="145"/>
      <c r="P5" s="14"/>
      <c r="Q5" s="14"/>
      <c r="R5" s="4">
        <f>+O5+S5</f>
        <v>0</v>
      </c>
      <c r="S5" s="96"/>
      <c r="T5" s="94"/>
      <c r="U5" s="4"/>
      <c r="V5" s="14"/>
      <c r="W5" s="17">
        <f>+T5+X5</f>
        <v>0</v>
      </c>
      <c r="X5" s="96"/>
      <c r="Y5" s="115">
        <f>+G5+L5+Q5+V5</f>
        <v>0</v>
      </c>
      <c r="Z5" s="13" t="e">
        <f>+Y5/(C5+D5)</f>
        <v>#DIV/0!</v>
      </c>
    </row>
    <row r="6" spans="2:26" ht="18.75" customHeight="1" x14ac:dyDescent="0.3">
      <c r="B6" s="18" t="s">
        <v>14</v>
      </c>
      <c r="C6" s="19"/>
      <c r="D6" s="90"/>
      <c r="E6" s="97">
        <f>SUM(E4:E5)</f>
        <v>271</v>
      </c>
      <c r="F6" s="4"/>
      <c r="G6" s="4"/>
      <c r="H6" s="5">
        <f>+H4+H5</f>
        <v>289</v>
      </c>
      <c r="I6" s="88"/>
      <c r="J6" s="97">
        <f>+J4+J5</f>
        <v>0</v>
      </c>
      <c r="K6" s="4"/>
      <c r="L6" s="4"/>
      <c r="M6" s="5">
        <f>+M4+M5</f>
        <v>0</v>
      </c>
      <c r="N6" s="98">
        <f>+N4+N5</f>
        <v>0</v>
      </c>
      <c r="O6" s="147">
        <f>+O4+O5</f>
        <v>0</v>
      </c>
      <c r="P6" s="4"/>
      <c r="Q6" s="4"/>
      <c r="R6" s="5">
        <f>+R4+R5</f>
        <v>0</v>
      </c>
      <c r="S6" s="98">
        <f>+S4+S5</f>
        <v>0</v>
      </c>
      <c r="T6" s="97">
        <f>+T4+T5</f>
        <v>0</v>
      </c>
      <c r="U6" s="4"/>
      <c r="V6" s="4"/>
      <c r="W6" s="5">
        <f>+W4+W5</f>
        <v>0</v>
      </c>
      <c r="X6" s="98">
        <f>+X4+X5</f>
        <v>0</v>
      </c>
      <c r="Y6" s="116"/>
      <c r="Z6" s="21"/>
    </row>
    <row r="7" spans="2:26" ht="12" customHeight="1" x14ac:dyDescent="0.3">
      <c r="E7" s="99"/>
      <c r="H7" s="2"/>
      <c r="I7" s="2"/>
      <c r="J7" s="99"/>
      <c r="M7" s="2"/>
      <c r="N7" s="100"/>
      <c r="O7" s="2"/>
      <c r="R7" s="2"/>
      <c r="S7" s="100"/>
      <c r="T7" s="99"/>
      <c r="W7" s="2"/>
      <c r="X7" s="100"/>
      <c r="Y7" s="12"/>
    </row>
    <row r="8" spans="2:26" ht="33.75" customHeight="1" x14ac:dyDescent="0.3">
      <c r="B8" s="3"/>
      <c r="C8" s="59" t="s">
        <v>2</v>
      </c>
      <c r="D8" s="87" t="s">
        <v>3</v>
      </c>
      <c r="E8" s="92" t="s">
        <v>4</v>
      </c>
      <c r="F8" s="60" t="s">
        <v>5</v>
      </c>
      <c r="G8" s="60" t="s">
        <v>6</v>
      </c>
      <c r="H8" s="6" t="s">
        <v>7</v>
      </c>
      <c r="I8" s="109" t="s">
        <v>8</v>
      </c>
      <c r="J8" s="92" t="s">
        <v>4</v>
      </c>
      <c r="K8" s="11" t="s">
        <v>5</v>
      </c>
      <c r="L8" s="11" t="s">
        <v>9</v>
      </c>
      <c r="M8" s="6" t="s">
        <v>7</v>
      </c>
      <c r="N8" s="93" t="s">
        <v>8</v>
      </c>
      <c r="O8" s="146" t="s">
        <v>4</v>
      </c>
      <c r="P8" s="65" t="s">
        <v>15</v>
      </c>
      <c r="Q8" s="65" t="s">
        <v>16</v>
      </c>
      <c r="R8" s="6" t="s">
        <v>7</v>
      </c>
      <c r="S8" s="93" t="s">
        <v>8</v>
      </c>
      <c r="T8" s="92" t="s">
        <v>4</v>
      </c>
      <c r="U8" s="66" t="s">
        <v>5</v>
      </c>
      <c r="V8" s="66" t="s">
        <v>9</v>
      </c>
      <c r="W8" s="6" t="s">
        <v>7</v>
      </c>
      <c r="X8" s="93" t="s">
        <v>8</v>
      </c>
      <c r="Y8" s="114" t="s">
        <v>10</v>
      </c>
      <c r="Z8" s="59" t="s">
        <v>11</v>
      </c>
    </row>
    <row r="9" spans="2:26" x14ac:dyDescent="0.3">
      <c r="B9" s="3" t="s">
        <v>17</v>
      </c>
      <c r="C9" s="5">
        <v>30</v>
      </c>
      <c r="D9" s="88"/>
      <c r="E9" s="101">
        <v>188</v>
      </c>
      <c r="F9" s="5">
        <v>22</v>
      </c>
      <c r="G9" s="5"/>
      <c r="H9" s="4">
        <f>+E9+I9</f>
        <v>208</v>
      </c>
      <c r="I9" s="110">
        <v>20</v>
      </c>
      <c r="J9" s="101"/>
      <c r="K9" s="5"/>
      <c r="L9" s="5"/>
      <c r="M9" s="4">
        <f>N9+J9</f>
        <v>0</v>
      </c>
      <c r="N9" s="95"/>
      <c r="O9" s="148"/>
      <c r="P9" s="5"/>
      <c r="Q9" s="5"/>
      <c r="R9" s="4">
        <f>+S9+O9</f>
        <v>0</v>
      </c>
      <c r="S9" s="95"/>
      <c r="T9" s="144"/>
      <c r="U9" s="5"/>
      <c r="V9" s="5"/>
      <c r="W9" s="4">
        <f>+T9+X9</f>
        <v>0</v>
      </c>
      <c r="X9" s="95"/>
      <c r="Y9" s="115">
        <f>+G9+L9+Q9+V9</f>
        <v>0</v>
      </c>
      <c r="Z9" s="13">
        <f>+Y9/(C9+D9)</f>
        <v>0</v>
      </c>
    </row>
    <row r="10" spans="2:26" x14ac:dyDescent="0.3">
      <c r="E10" s="102"/>
      <c r="J10" s="102"/>
      <c r="N10" s="103"/>
      <c r="S10" s="103"/>
      <c r="T10" s="102"/>
      <c r="X10" s="103"/>
    </row>
    <row r="11" spans="2:26" ht="38.25" customHeight="1" x14ac:dyDescent="0.3">
      <c r="B11" s="15"/>
      <c r="C11" s="62" t="s">
        <v>2</v>
      </c>
      <c r="D11" s="91" t="s">
        <v>3</v>
      </c>
      <c r="E11" s="104" t="s">
        <v>4</v>
      </c>
      <c r="F11" s="63" t="s">
        <v>5</v>
      </c>
      <c r="G11" s="63" t="s">
        <v>6</v>
      </c>
      <c r="H11" s="61" t="s">
        <v>7</v>
      </c>
      <c r="I11" s="112" t="s">
        <v>8</v>
      </c>
      <c r="J11" s="104" t="s">
        <v>4</v>
      </c>
      <c r="K11" s="64" t="s">
        <v>5</v>
      </c>
      <c r="L11" s="11" t="s">
        <v>9</v>
      </c>
      <c r="M11" s="61" t="s">
        <v>7</v>
      </c>
      <c r="N11" s="105" t="s">
        <v>8</v>
      </c>
      <c r="O11" s="149" t="s">
        <v>4</v>
      </c>
      <c r="P11" s="65" t="s">
        <v>15</v>
      </c>
      <c r="Q11" s="65" t="s">
        <v>16</v>
      </c>
      <c r="R11" s="61" t="s">
        <v>7</v>
      </c>
      <c r="S11" s="105" t="s">
        <v>8</v>
      </c>
      <c r="T11" s="104" t="s">
        <v>4</v>
      </c>
      <c r="U11" s="66" t="s">
        <v>5</v>
      </c>
      <c r="V11" s="66" t="s">
        <v>9</v>
      </c>
      <c r="W11" s="61" t="s">
        <v>7</v>
      </c>
      <c r="X11" s="105" t="s">
        <v>8</v>
      </c>
      <c r="Y11" s="117" t="s">
        <v>10</v>
      </c>
      <c r="Z11" s="62" t="s">
        <v>11</v>
      </c>
    </row>
    <row r="12" spans="2:26" x14ac:dyDescent="0.3">
      <c r="B12" s="3" t="s">
        <v>18</v>
      </c>
      <c r="C12" s="5">
        <v>30</v>
      </c>
      <c r="D12" s="88"/>
      <c r="E12" s="101">
        <v>258</v>
      </c>
      <c r="F12" s="5">
        <v>13</v>
      </c>
      <c r="G12" s="5">
        <v>7</v>
      </c>
      <c r="H12" s="4">
        <f>+E12+I12</f>
        <v>309</v>
      </c>
      <c r="I12" s="110">
        <v>51</v>
      </c>
      <c r="J12" s="101"/>
      <c r="K12" s="5"/>
      <c r="L12" s="5"/>
      <c r="M12" s="4">
        <f>+J12+N12</f>
        <v>0</v>
      </c>
      <c r="N12" s="95"/>
      <c r="O12" s="148"/>
      <c r="P12" s="5"/>
      <c r="Q12" s="5"/>
      <c r="R12" s="4">
        <f>+O12+S12</f>
        <v>0</v>
      </c>
      <c r="S12" s="95"/>
      <c r="T12" s="144"/>
      <c r="U12" s="5"/>
      <c r="V12" s="5"/>
      <c r="W12" s="4">
        <f>+T12+X12</f>
        <v>0</v>
      </c>
      <c r="X12" s="95"/>
      <c r="Y12" s="115">
        <f>+G12+L12+Q12+V12</f>
        <v>7</v>
      </c>
      <c r="Z12" s="13">
        <f>+Y12/(C12+D12)</f>
        <v>0.23333333333333334</v>
      </c>
    </row>
    <row r="13" spans="2:26" ht="12" customHeight="1" x14ac:dyDescent="0.3">
      <c r="E13" s="102"/>
      <c r="J13" s="102"/>
      <c r="N13" s="103"/>
      <c r="S13" s="103"/>
      <c r="T13" s="102"/>
      <c r="X13" s="103"/>
    </row>
    <row r="14" spans="2:26" ht="34.5" customHeight="1" x14ac:dyDescent="0.3">
      <c r="B14" s="9" t="s">
        <v>19</v>
      </c>
      <c r="C14" s="59" t="s">
        <v>2</v>
      </c>
      <c r="D14" s="87" t="s">
        <v>3</v>
      </c>
      <c r="E14" s="92" t="s">
        <v>4</v>
      </c>
      <c r="F14" s="60" t="s">
        <v>5</v>
      </c>
      <c r="G14" s="60" t="s">
        <v>6</v>
      </c>
      <c r="H14" s="6" t="s">
        <v>7</v>
      </c>
      <c r="I14" s="109" t="s">
        <v>8</v>
      </c>
      <c r="J14" s="92" t="s">
        <v>4</v>
      </c>
      <c r="K14" s="11" t="s">
        <v>5</v>
      </c>
      <c r="L14" s="11" t="s">
        <v>9</v>
      </c>
      <c r="M14" s="6" t="s">
        <v>7</v>
      </c>
      <c r="N14" s="93" t="s">
        <v>8</v>
      </c>
      <c r="O14" s="146" t="s">
        <v>4</v>
      </c>
      <c r="P14" s="65" t="s">
        <v>15</v>
      </c>
      <c r="Q14" s="65" t="s">
        <v>16</v>
      </c>
      <c r="R14" s="6" t="s">
        <v>7</v>
      </c>
      <c r="S14" s="93" t="s">
        <v>8</v>
      </c>
      <c r="T14" s="92" t="s">
        <v>4</v>
      </c>
      <c r="U14" s="66" t="s">
        <v>5</v>
      </c>
      <c r="V14" s="66" t="s">
        <v>9</v>
      </c>
      <c r="W14" s="6" t="s">
        <v>7</v>
      </c>
      <c r="X14" s="93" t="s">
        <v>8</v>
      </c>
      <c r="Y14" s="114" t="s">
        <v>10</v>
      </c>
      <c r="Z14" s="59" t="s">
        <v>11</v>
      </c>
    </row>
    <row r="15" spans="2:26" x14ac:dyDescent="0.3">
      <c r="B15" s="7" t="s">
        <v>20</v>
      </c>
      <c r="C15" s="5">
        <v>2</v>
      </c>
      <c r="D15" s="88"/>
      <c r="E15" s="101">
        <v>83</v>
      </c>
      <c r="F15" s="5">
        <v>2</v>
      </c>
      <c r="G15" s="5">
        <v>1</v>
      </c>
      <c r="H15" s="4">
        <f>+E15+I15</f>
        <v>83</v>
      </c>
      <c r="I15" s="110">
        <v>0</v>
      </c>
      <c r="J15" s="101"/>
      <c r="K15" s="14"/>
      <c r="L15" s="14"/>
      <c r="M15" s="4">
        <f>+J15+N15</f>
        <v>0</v>
      </c>
      <c r="N15" s="95"/>
      <c r="O15" s="148"/>
      <c r="P15" s="5"/>
      <c r="Q15" s="5"/>
      <c r="R15" s="4">
        <f>+O15+S15</f>
        <v>0</v>
      </c>
      <c r="S15" s="95"/>
      <c r="T15" s="144"/>
      <c r="U15" s="5"/>
      <c r="V15" s="5"/>
      <c r="W15" s="4">
        <f>+T15+X15</f>
        <v>0</v>
      </c>
      <c r="X15" s="95"/>
      <c r="Y15" s="115">
        <f>+G15+L15+Q15+V15</f>
        <v>1</v>
      </c>
      <c r="Z15" s="13">
        <f>+Y15/(C15+D15)</f>
        <v>0.5</v>
      </c>
    </row>
    <row r="16" spans="2:26" x14ac:dyDescent="0.3">
      <c r="B16" s="7" t="s">
        <v>21</v>
      </c>
      <c r="C16" s="5">
        <v>2</v>
      </c>
      <c r="D16" s="88"/>
      <c r="E16" s="101">
        <v>40</v>
      </c>
      <c r="F16" s="5"/>
      <c r="G16" s="5"/>
      <c r="H16" s="4">
        <f>+E16+I16</f>
        <v>40</v>
      </c>
      <c r="I16" s="110">
        <v>0</v>
      </c>
      <c r="J16" s="101"/>
      <c r="K16" s="4"/>
      <c r="L16" s="14"/>
      <c r="M16" s="4">
        <f>+J16+N16</f>
        <v>0</v>
      </c>
      <c r="N16" s="95"/>
      <c r="O16" s="148"/>
      <c r="P16" s="5"/>
      <c r="Q16" s="5"/>
      <c r="R16" s="4">
        <f>+O16+S16</f>
        <v>0</v>
      </c>
      <c r="S16" s="95"/>
      <c r="T16" s="144"/>
      <c r="U16" s="4"/>
      <c r="V16" s="4"/>
      <c r="W16" s="4">
        <f>+T16+X16</f>
        <v>0</v>
      </c>
      <c r="X16" s="95"/>
      <c r="Y16" s="115">
        <f>+G16+L16+Q16+V16</f>
        <v>0</v>
      </c>
      <c r="Z16" s="13">
        <f>+Y16/(C16+D16)</f>
        <v>0</v>
      </c>
    </row>
    <row r="17" spans="2:26" ht="12" customHeight="1" thickBot="1" x14ac:dyDescent="0.35">
      <c r="B17" s="18" t="s">
        <v>22</v>
      </c>
      <c r="C17" s="19"/>
      <c r="D17" s="90"/>
      <c r="E17" s="106">
        <f>SUM(E15:E16)</f>
        <v>123</v>
      </c>
      <c r="F17" s="107"/>
      <c r="G17" s="107"/>
      <c r="H17" s="107">
        <f t="shared" ref="H17:N17" si="0">SUM(H15:H16)</f>
        <v>123</v>
      </c>
      <c r="I17" s="113">
        <f t="shared" si="0"/>
        <v>0</v>
      </c>
      <c r="J17" s="106">
        <f t="shared" si="0"/>
        <v>0</v>
      </c>
      <c r="K17" s="37"/>
      <c r="L17" s="37"/>
      <c r="M17" s="107">
        <f t="shared" si="0"/>
        <v>0</v>
      </c>
      <c r="N17" s="108">
        <f t="shared" si="0"/>
        <v>0</v>
      </c>
      <c r="O17" s="150"/>
      <c r="P17" s="37"/>
      <c r="Q17" s="37"/>
      <c r="R17" s="107">
        <f>R15+R16</f>
        <v>0</v>
      </c>
      <c r="S17" s="108"/>
      <c r="T17" s="106">
        <f>+T15+T16</f>
        <v>0</v>
      </c>
      <c r="U17" s="37"/>
      <c r="V17" s="37"/>
      <c r="W17" s="107">
        <f>W15+W16</f>
        <v>0</v>
      </c>
      <c r="X17" s="108"/>
      <c r="Y17" s="116"/>
      <c r="Z17" s="21"/>
    </row>
  </sheetData>
  <mergeCells count="4">
    <mergeCell ref="E2:I2"/>
    <mergeCell ref="J2:N2"/>
    <mergeCell ref="O2:S2"/>
    <mergeCell ref="T2:X2"/>
  </mergeCells>
  <pageMargins left="0.7" right="0.7" top="0.75" bottom="0.75" header="0.3" footer="0.3"/>
  <pageSetup paperSize="9" orientation="portrait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0FF6-3087-48CC-91D1-AD18AD2E42F1}">
  <sheetPr>
    <tabColor rgb="FF7030A0"/>
  </sheetPr>
  <dimension ref="B1:Z17"/>
  <sheetViews>
    <sheetView showGridLines="0" zoomScale="88" zoomScaleNormal="88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H3" sqref="H3"/>
    </sheetView>
  </sheetViews>
  <sheetFormatPr baseColWidth="10" defaultColWidth="11.44140625" defaultRowHeight="14.4" x14ac:dyDescent="0.3"/>
  <cols>
    <col min="1" max="1" width="3.109375" customWidth="1"/>
    <col min="2" max="2" width="15.33203125" customWidth="1"/>
    <col min="3" max="3" width="10.6640625" style="2" customWidth="1"/>
    <col min="4" max="4" width="14" style="2" customWidth="1"/>
    <col min="5" max="5" width="8.6640625" style="1" customWidth="1"/>
    <col min="6" max="7" width="8.6640625" style="2" customWidth="1"/>
    <col min="8" max="10" width="8.6640625" style="1" customWidth="1"/>
    <col min="11" max="12" width="8.6640625" customWidth="1"/>
    <col min="13" max="15" width="8.6640625" style="1" customWidth="1"/>
    <col min="16" max="17" width="8.6640625" customWidth="1"/>
    <col min="18" max="20" width="8.6640625" style="1" customWidth="1"/>
    <col min="21" max="22" width="8.6640625" customWidth="1"/>
    <col min="23" max="24" width="8.6640625" style="1" customWidth="1"/>
    <col min="25" max="25" width="15" customWidth="1"/>
    <col min="26" max="26" width="13" style="1" customWidth="1"/>
  </cols>
  <sheetData>
    <row r="1" spans="2:26" ht="15" thickBot="1" x14ac:dyDescent="0.35"/>
    <row r="2" spans="2:26" ht="14.4" customHeight="1" x14ac:dyDescent="0.3">
      <c r="B2" s="8" t="s">
        <v>0</v>
      </c>
      <c r="C2" s="2" t="s">
        <v>1</v>
      </c>
      <c r="E2" s="184" t="s">
        <v>151</v>
      </c>
      <c r="F2" s="185"/>
      <c r="G2" s="185"/>
      <c r="H2" s="185"/>
      <c r="I2" s="185"/>
      <c r="J2" s="186" t="s">
        <v>152</v>
      </c>
      <c r="K2" s="187"/>
      <c r="L2" s="187"/>
      <c r="M2" s="187"/>
      <c r="N2" s="188"/>
      <c r="O2" s="189" t="s">
        <v>153</v>
      </c>
      <c r="P2" s="189"/>
      <c r="Q2" s="189"/>
      <c r="R2" s="189"/>
      <c r="S2" s="190"/>
      <c r="T2" s="191" t="s">
        <v>154</v>
      </c>
      <c r="U2" s="192"/>
      <c r="V2" s="192"/>
      <c r="W2" s="192"/>
      <c r="X2" s="193"/>
    </row>
    <row r="3" spans="2:26" ht="38.25" customHeight="1" x14ac:dyDescent="0.3">
      <c r="B3" s="3"/>
      <c r="C3" s="59" t="s">
        <v>2</v>
      </c>
      <c r="D3" s="87" t="s">
        <v>3</v>
      </c>
      <c r="E3" s="92" t="s">
        <v>4</v>
      </c>
      <c r="F3" s="60" t="s">
        <v>5</v>
      </c>
      <c r="G3" s="60" t="s">
        <v>6</v>
      </c>
      <c r="H3" s="6" t="s">
        <v>7</v>
      </c>
      <c r="I3" s="109" t="s">
        <v>8</v>
      </c>
      <c r="J3" s="92" t="s">
        <v>4</v>
      </c>
      <c r="K3" s="11" t="s">
        <v>5</v>
      </c>
      <c r="L3" s="11" t="s">
        <v>9</v>
      </c>
      <c r="M3" s="6" t="s">
        <v>7</v>
      </c>
      <c r="N3" s="93" t="s">
        <v>8</v>
      </c>
      <c r="O3" s="146" t="s">
        <v>4</v>
      </c>
      <c r="P3" s="65" t="s">
        <v>5</v>
      </c>
      <c r="Q3" s="65" t="s">
        <v>9</v>
      </c>
      <c r="R3" s="6" t="s">
        <v>7</v>
      </c>
      <c r="S3" s="93" t="s">
        <v>8</v>
      </c>
      <c r="T3" s="92" t="s">
        <v>4</v>
      </c>
      <c r="U3" s="66" t="s">
        <v>5</v>
      </c>
      <c r="V3" s="66" t="s">
        <v>9</v>
      </c>
      <c r="W3" s="6" t="s">
        <v>7</v>
      </c>
      <c r="X3" s="93" t="s">
        <v>8</v>
      </c>
      <c r="Y3" s="114" t="s">
        <v>10</v>
      </c>
      <c r="Z3" s="59" t="s">
        <v>11</v>
      </c>
    </row>
    <row r="4" spans="2:26" x14ac:dyDescent="0.3">
      <c r="B4" s="3" t="s">
        <v>12</v>
      </c>
      <c r="C4" s="5">
        <v>60</v>
      </c>
      <c r="D4" s="88"/>
      <c r="E4" s="94">
        <v>270</v>
      </c>
      <c r="F4" s="46">
        <v>11</v>
      </c>
      <c r="G4" s="5">
        <v>4</v>
      </c>
      <c r="H4" s="4">
        <f>+I4+E4</f>
        <v>285</v>
      </c>
      <c r="I4" s="110">
        <v>15</v>
      </c>
      <c r="J4" s="97">
        <v>265</v>
      </c>
      <c r="K4" s="46">
        <v>7</v>
      </c>
      <c r="L4" s="5">
        <v>3</v>
      </c>
      <c r="M4" s="4">
        <f>+N4+J4</f>
        <v>282</v>
      </c>
      <c r="N4" s="151">
        <v>17</v>
      </c>
      <c r="O4" s="145">
        <v>259</v>
      </c>
      <c r="P4" s="5">
        <v>5</v>
      </c>
      <c r="Q4" s="5">
        <v>3</v>
      </c>
      <c r="R4" s="4">
        <f>+O4+S4</f>
        <v>273</v>
      </c>
      <c r="S4" s="95">
        <v>14</v>
      </c>
      <c r="T4" s="94">
        <v>267</v>
      </c>
      <c r="U4" s="5">
        <v>11</v>
      </c>
      <c r="V4" s="132">
        <v>4</v>
      </c>
      <c r="W4" s="4">
        <f>+X4+T4</f>
        <v>281</v>
      </c>
      <c r="X4" s="95">
        <v>14</v>
      </c>
      <c r="Y4" s="115">
        <f>+G4+L4+Q4+V4</f>
        <v>14</v>
      </c>
      <c r="Z4" s="13">
        <f>+Y4/(C4+D4)</f>
        <v>0.23333333333333334</v>
      </c>
    </row>
    <row r="5" spans="2:26" x14ac:dyDescent="0.3">
      <c r="B5" s="15" t="s">
        <v>13</v>
      </c>
      <c r="C5" s="14"/>
      <c r="D5" s="89"/>
      <c r="E5" s="94">
        <v>18</v>
      </c>
      <c r="F5" s="14"/>
      <c r="G5" s="14"/>
      <c r="H5" s="17">
        <f>+E5+I5</f>
        <v>18</v>
      </c>
      <c r="I5" s="111">
        <v>0</v>
      </c>
      <c r="J5" s="154">
        <v>18</v>
      </c>
      <c r="K5" s="14"/>
      <c r="L5" s="14"/>
      <c r="M5" s="17">
        <f>+J5+N5</f>
        <v>18</v>
      </c>
      <c r="N5" s="98"/>
      <c r="O5" s="145">
        <v>19</v>
      </c>
      <c r="P5" s="14"/>
      <c r="Q5" s="14"/>
      <c r="R5" s="4">
        <f>+O5+S5</f>
        <v>20</v>
      </c>
      <c r="S5" s="96">
        <v>1</v>
      </c>
      <c r="T5" s="94">
        <v>19</v>
      </c>
      <c r="U5" s="4"/>
      <c r="V5" s="14"/>
      <c r="W5" s="17">
        <f>+T5+X5</f>
        <v>20</v>
      </c>
      <c r="X5" s="96">
        <v>1</v>
      </c>
      <c r="Y5" s="115">
        <f>+G5+L5+Q5+V5</f>
        <v>0</v>
      </c>
      <c r="Z5" s="13" t="e">
        <f>+Y5/(C5+D5)</f>
        <v>#DIV/0!</v>
      </c>
    </row>
    <row r="6" spans="2:26" ht="18.75" customHeight="1" x14ac:dyDescent="0.3">
      <c r="B6" s="18" t="s">
        <v>14</v>
      </c>
      <c r="C6" s="19"/>
      <c r="D6" s="90"/>
      <c r="E6" s="97"/>
      <c r="F6" s="4"/>
      <c r="G6" s="4"/>
      <c r="H6" s="5">
        <f>+H4+H5</f>
        <v>303</v>
      </c>
      <c r="I6" s="88"/>
      <c r="J6" s="97">
        <f>+J4+J5</f>
        <v>283</v>
      </c>
      <c r="K6" s="4"/>
      <c r="L6" s="4"/>
      <c r="M6" s="5">
        <f>+M4+M5</f>
        <v>300</v>
      </c>
      <c r="N6" s="98">
        <f>+N4+N5</f>
        <v>17</v>
      </c>
      <c r="O6" s="147">
        <f>+O4+O5</f>
        <v>278</v>
      </c>
      <c r="P6" s="4"/>
      <c r="Q6" s="4"/>
      <c r="R6" s="5">
        <f>+R4+R5</f>
        <v>293</v>
      </c>
      <c r="S6" s="98">
        <f>+S4+S5</f>
        <v>15</v>
      </c>
      <c r="T6" s="97">
        <f>+T4+T5</f>
        <v>286</v>
      </c>
      <c r="U6" s="4"/>
      <c r="V6" s="4"/>
      <c r="W6" s="5">
        <f>+W4+W5</f>
        <v>301</v>
      </c>
      <c r="X6" s="98">
        <f>+X4+X5</f>
        <v>15</v>
      </c>
      <c r="Y6" s="116"/>
      <c r="Z6" s="21"/>
    </row>
    <row r="7" spans="2:26" ht="12" customHeight="1" x14ac:dyDescent="0.3">
      <c r="E7" s="99"/>
      <c r="H7" s="2"/>
      <c r="I7" s="2"/>
      <c r="J7" s="99"/>
      <c r="M7" s="2"/>
      <c r="N7" s="100"/>
      <c r="O7" s="2"/>
      <c r="R7" s="2"/>
      <c r="S7" s="100"/>
      <c r="T7" s="99"/>
      <c r="W7" s="2"/>
      <c r="X7" s="100"/>
      <c r="Y7" s="12"/>
    </row>
    <row r="8" spans="2:26" ht="33.75" customHeight="1" x14ac:dyDescent="0.3">
      <c r="B8" s="3"/>
      <c r="C8" s="59" t="s">
        <v>2</v>
      </c>
      <c r="D8" s="87" t="s">
        <v>3</v>
      </c>
      <c r="E8" s="92" t="s">
        <v>4</v>
      </c>
      <c r="F8" s="60" t="s">
        <v>5</v>
      </c>
      <c r="G8" s="60" t="s">
        <v>6</v>
      </c>
      <c r="H8" s="6" t="s">
        <v>7</v>
      </c>
      <c r="I8" s="109" t="s">
        <v>8</v>
      </c>
      <c r="J8" s="92" t="s">
        <v>4</v>
      </c>
      <c r="K8" s="11" t="s">
        <v>5</v>
      </c>
      <c r="L8" s="11" t="s">
        <v>9</v>
      </c>
      <c r="M8" s="6" t="s">
        <v>7</v>
      </c>
      <c r="N8" s="93" t="s">
        <v>8</v>
      </c>
      <c r="O8" s="146" t="s">
        <v>4</v>
      </c>
      <c r="P8" s="65" t="s">
        <v>15</v>
      </c>
      <c r="Q8" s="65" t="s">
        <v>16</v>
      </c>
      <c r="R8" s="6" t="s">
        <v>7</v>
      </c>
      <c r="S8" s="93" t="s">
        <v>8</v>
      </c>
      <c r="T8" s="92" t="s">
        <v>4</v>
      </c>
      <c r="U8" s="66" t="s">
        <v>5</v>
      </c>
      <c r="V8" s="66" t="s">
        <v>9</v>
      </c>
      <c r="W8" s="6" t="s">
        <v>7</v>
      </c>
      <c r="X8" s="93" t="s">
        <v>8</v>
      </c>
      <c r="Y8" s="114" t="s">
        <v>10</v>
      </c>
      <c r="Z8" s="59" t="s">
        <v>11</v>
      </c>
    </row>
    <row r="9" spans="2:26" x14ac:dyDescent="0.3">
      <c r="B9" s="3" t="s">
        <v>17</v>
      </c>
      <c r="C9" s="5">
        <v>30</v>
      </c>
      <c r="D9" s="88"/>
      <c r="E9" s="101">
        <v>169</v>
      </c>
      <c r="F9" s="5">
        <v>12</v>
      </c>
      <c r="G9" s="5">
        <v>2</v>
      </c>
      <c r="H9" s="4">
        <f>+E9+I9</f>
        <v>189</v>
      </c>
      <c r="I9" s="110">
        <v>20</v>
      </c>
      <c r="J9" s="101">
        <v>177</v>
      </c>
      <c r="K9" s="5">
        <v>14</v>
      </c>
      <c r="L9" s="5">
        <v>7</v>
      </c>
      <c r="M9" s="4">
        <f>N9+J9</f>
        <v>198</v>
      </c>
      <c r="N9" s="95">
        <v>21</v>
      </c>
      <c r="O9" s="148">
        <v>181</v>
      </c>
      <c r="P9" s="5">
        <v>16</v>
      </c>
      <c r="Q9" s="5">
        <v>5</v>
      </c>
      <c r="R9" s="4">
        <f>+S9+O9</f>
        <v>201</v>
      </c>
      <c r="S9" s="95">
        <v>20</v>
      </c>
      <c r="T9" s="144">
        <v>190</v>
      </c>
      <c r="U9" s="5">
        <v>16</v>
      </c>
      <c r="V9" s="5">
        <v>4</v>
      </c>
      <c r="W9" s="4">
        <f>+T9+X9</f>
        <v>226</v>
      </c>
      <c r="X9" s="95">
        <v>36</v>
      </c>
      <c r="Y9" s="115">
        <f>+G9+L9+Q9+V9</f>
        <v>18</v>
      </c>
      <c r="Z9" s="13">
        <f>+Y9/(C9+D9)</f>
        <v>0.6</v>
      </c>
    </row>
    <row r="10" spans="2:26" x14ac:dyDescent="0.3">
      <c r="E10" s="102"/>
      <c r="J10" s="102"/>
      <c r="N10" s="103"/>
      <c r="S10" s="103"/>
      <c r="T10" s="102"/>
      <c r="X10" s="103"/>
    </row>
    <row r="11" spans="2:26" ht="38.25" customHeight="1" x14ac:dyDescent="0.3">
      <c r="B11" s="15"/>
      <c r="C11" s="62" t="s">
        <v>2</v>
      </c>
      <c r="D11" s="91" t="s">
        <v>3</v>
      </c>
      <c r="E11" s="104" t="s">
        <v>4</v>
      </c>
      <c r="F11" s="63" t="s">
        <v>5</v>
      </c>
      <c r="G11" s="63" t="s">
        <v>6</v>
      </c>
      <c r="H11" s="61" t="s">
        <v>7</v>
      </c>
      <c r="I11" s="112" t="s">
        <v>8</v>
      </c>
      <c r="J11" s="104" t="s">
        <v>4</v>
      </c>
      <c r="K11" s="64" t="s">
        <v>5</v>
      </c>
      <c r="L11" s="11" t="s">
        <v>9</v>
      </c>
      <c r="M11" s="61" t="s">
        <v>7</v>
      </c>
      <c r="N11" s="105" t="s">
        <v>8</v>
      </c>
      <c r="O11" s="149" t="s">
        <v>4</v>
      </c>
      <c r="P11" s="65" t="s">
        <v>15</v>
      </c>
      <c r="Q11" s="65" t="s">
        <v>16</v>
      </c>
      <c r="R11" s="61" t="s">
        <v>7</v>
      </c>
      <c r="S11" s="105" t="s">
        <v>8</v>
      </c>
      <c r="T11" s="104" t="s">
        <v>4</v>
      </c>
      <c r="U11" s="66" t="s">
        <v>5</v>
      </c>
      <c r="V11" s="66" t="s">
        <v>9</v>
      </c>
      <c r="W11" s="61" t="s">
        <v>7</v>
      </c>
      <c r="X11" s="105" t="s">
        <v>8</v>
      </c>
      <c r="Y11" s="117" t="s">
        <v>10</v>
      </c>
      <c r="Z11" s="62" t="s">
        <v>11</v>
      </c>
    </row>
    <row r="12" spans="2:26" x14ac:dyDescent="0.3">
      <c r="B12" s="3" t="s">
        <v>18</v>
      </c>
      <c r="C12" s="5">
        <v>30</v>
      </c>
      <c r="D12" s="88"/>
      <c r="E12" s="101">
        <v>234</v>
      </c>
      <c r="F12" s="5">
        <v>17</v>
      </c>
      <c r="G12" s="5">
        <v>8</v>
      </c>
      <c r="H12" s="4">
        <f>+E12+I12</f>
        <v>294</v>
      </c>
      <c r="I12" s="110">
        <v>60</v>
      </c>
      <c r="J12" s="101">
        <v>257</v>
      </c>
      <c r="K12" s="5">
        <v>17</v>
      </c>
      <c r="L12" s="5">
        <v>5</v>
      </c>
      <c r="M12" s="4">
        <f>+J12+N12</f>
        <v>298</v>
      </c>
      <c r="N12" s="95">
        <v>41</v>
      </c>
      <c r="O12" s="148">
        <v>261</v>
      </c>
      <c r="P12" s="5">
        <v>13</v>
      </c>
      <c r="Q12" s="5">
        <v>5</v>
      </c>
      <c r="R12" s="4">
        <f>+O12+S12</f>
        <v>315</v>
      </c>
      <c r="S12" s="95">
        <v>54</v>
      </c>
      <c r="T12" s="144">
        <v>267</v>
      </c>
      <c r="U12" s="5">
        <v>13</v>
      </c>
      <c r="V12" s="5">
        <v>3</v>
      </c>
      <c r="W12" s="4">
        <f>+T12+X12</f>
        <v>315</v>
      </c>
      <c r="X12" s="95">
        <v>48</v>
      </c>
      <c r="Y12" s="115">
        <f>+G12+L12+Q12+V12</f>
        <v>21</v>
      </c>
      <c r="Z12" s="13">
        <f>+Y12/(C12+D12)</f>
        <v>0.7</v>
      </c>
    </row>
    <row r="13" spans="2:26" ht="12" customHeight="1" x14ac:dyDescent="0.3">
      <c r="E13" s="102"/>
      <c r="J13" s="102"/>
      <c r="N13" s="103"/>
      <c r="S13" s="103"/>
      <c r="T13" s="102"/>
      <c r="X13" s="103"/>
    </row>
    <row r="14" spans="2:26" ht="34.5" customHeight="1" x14ac:dyDescent="0.3">
      <c r="B14" s="9" t="s">
        <v>19</v>
      </c>
      <c r="C14" s="59" t="s">
        <v>2</v>
      </c>
      <c r="D14" s="87" t="s">
        <v>3</v>
      </c>
      <c r="E14" s="92" t="s">
        <v>4</v>
      </c>
      <c r="F14" s="60" t="s">
        <v>5</v>
      </c>
      <c r="G14" s="60" t="s">
        <v>6</v>
      </c>
      <c r="H14" s="6" t="s">
        <v>7</v>
      </c>
      <c r="I14" s="109" t="s">
        <v>8</v>
      </c>
      <c r="J14" s="92" t="s">
        <v>4</v>
      </c>
      <c r="K14" s="11" t="s">
        <v>5</v>
      </c>
      <c r="L14" s="11" t="s">
        <v>9</v>
      </c>
      <c r="M14" s="6" t="s">
        <v>7</v>
      </c>
      <c r="N14" s="93" t="s">
        <v>8</v>
      </c>
      <c r="O14" s="146" t="s">
        <v>4</v>
      </c>
      <c r="P14" s="65" t="s">
        <v>15</v>
      </c>
      <c r="Q14" s="65" t="s">
        <v>16</v>
      </c>
      <c r="R14" s="6" t="s">
        <v>7</v>
      </c>
      <c r="S14" s="93" t="s">
        <v>8</v>
      </c>
      <c r="T14" s="92" t="s">
        <v>4</v>
      </c>
      <c r="U14" s="66" t="s">
        <v>5</v>
      </c>
      <c r="V14" s="66" t="s">
        <v>9</v>
      </c>
      <c r="W14" s="6" t="s">
        <v>7</v>
      </c>
      <c r="X14" s="93" t="s">
        <v>8</v>
      </c>
      <c r="Y14" s="114" t="s">
        <v>10</v>
      </c>
      <c r="Z14" s="59" t="s">
        <v>11</v>
      </c>
    </row>
    <row r="15" spans="2:26" x14ac:dyDescent="0.3">
      <c r="B15" s="7" t="s">
        <v>20</v>
      </c>
      <c r="C15" s="5">
        <v>2</v>
      </c>
      <c r="D15" s="88"/>
      <c r="E15" s="101">
        <v>77</v>
      </c>
      <c r="F15" s="5">
        <v>0</v>
      </c>
      <c r="G15" s="5">
        <v>0</v>
      </c>
      <c r="H15" s="4">
        <f>+E15+I15</f>
        <v>77</v>
      </c>
      <c r="I15" s="110">
        <v>0</v>
      </c>
      <c r="J15" s="101">
        <v>77</v>
      </c>
      <c r="K15" s="14">
        <v>0</v>
      </c>
      <c r="L15" s="14">
        <v>0</v>
      </c>
      <c r="M15" s="4">
        <f>+J15+N15</f>
        <v>77</v>
      </c>
      <c r="N15" s="95">
        <v>0</v>
      </c>
      <c r="O15" s="148">
        <v>78</v>
      </c>
      <c r="P15" s="5">
        <v>1</v>
      </c>
      <c r="Q15" s="5">
        <v>0</v>
      </c>
      <c r="R15" s="4">
        <f>+O15+S15</f>
        <v>78</v>
      </c>
      <c r="S15" s="95">
        <v>0</v>
      </c>
      <c r="T15" s="144">
        <v>82</v>
      </c>
      <c r="U15" s="5">
        <v>2</v>
      </c>
      <c r="V15" s="5">
        <v>1</v>
      </c>
      <c r="W15" s="4">
        <f>+T15+X15</f>
        <v>82</v>
      </c>
      <c r="X15" s="95">
        <v>0</v>
      </c>
      <c r="Y15" s="115">
        <f>+G15+L15+Q15+V15</f>
        <v>1</v>
      </c>
      <c r="Z15" s="13">
        <f>+Y15/(C15+D15)</f>
        <v>0.5</v>
      </c>
    </row>
    <row r="16" spans="2:26" x14ac:dyDescent="0.3">
      <c r="B16" s="7" t="s">
        <v>21</v>
      </c>
      <c r="C16" s="5">
        <v>2</v>
      </c>
      <c r="D16" s="88"/>
      <c r="E16" s="101">
        <v>36</v>
      </c>
      <c r="F16" s="5">
        <v>1</v>
      </c>
      <c r="G16" s="5">
        <v>1</v>
      </c>
      <c r="H16" s="4">
        <f>+E16+I16</f>
        <v>36</v>
      </c>
      <c r="I16" s="110">
        <v>0</v>
      </c>
      <c r="J16" s="101">
        <v>36</v>
      </c>
      <c r="K16" s="4">
        <v>0</v>
      </c>
      <c r="L16" s="14">
        <v>0</v>
      </c>
      <c r="M16" s="4">
        <f>+J16+N16</f>
        <v>36</v>
      </c>
      <c r="N16" s="95">
        <v>0</v>
      </c>
      <c r="O16" s="148">
        <v>40</v>
      </c>
      <c r="P16" s="5">
        <v>0</v>
      </c>
      <c r="Q16" s="5">
        <v>0</v>
      </c>
      <c r="R16" s="4">
        <f>+O16+S16</f>
        <v>40</v>
      </c>
      <c r="S16" s="95">
        <v>0</v>
      </c>
      <c r="T16" s="144">
        <v>38</v>
      </c>
      <c r="U16" s="4">
        <v>0</v>
      </c>
      <c r="V16" s="4"/>
      <c r="W16" s="4">
        <f>+T16+X16</f>
        <v>38</v>
      </c>
      <c r="X16" s="95">
        <v>0</v>
      </c>
      <c r="Y16" s="115">
        <f>+G16+L16+Q16+V16</f>
        <v>1</v>
      </c>
      <c r="Z16" s="13">
        <f>+Y16/(C16+D16)</f>
        <v>0.5</v>
      </c>
    </row>
    <row r="17" spans="2:26" ht="12" customHeight="1" thickBot="1" x14ac:dyDescent="0.35">
      <c r="B17" s="18" t="s">
        <v>22</v>
      </c>
      <c r="C17" s="19"/>
      <c r="D17" s="90"/>
      <c r="E17" s="106">
        <f>SUM(E15:E16)</f>
        <v>113</v>
      </c>
      <c r="F17" s="107"/>
      <c r="G17" s="107"/>
      <c r="H17" s="107">
        <f t="shared" ref="H17:N17" si="0">SUM(H15:H16)</f>
        <v>113</v>
      </c>
      <c r="I17" s="113">
        <f t="shared" si="0"/>
        <v>0</v>
      </c>
      <c r="J17" s="106">
        <f t="shared" si="0"/>
        <v>113</v>
      </c>
      <c r="K17" s="37"/>
      <c r="L17" s="37"/>
      <c r="M17" s="107">
        <f t="shared" si="0"/>
        <v>113</v>
      </c>
      <c r="N17" s="108">
        <f t="shared" si="0"/>
        <v>0</v>
      </c>
      <c r="O17" s="150"/>
      <c r="P17" s="37"/>
      <c r="Q17" s="37"/>
      <c r="R17" s="107">
        <f>R15+R16</f>
        <v>118</v>
      </c>
      <c r="S17" s="108"/>
      <c r="T17" s="106">
        <f>+T15+T16</f>
        <v>120</v>
      </c>
      <c r="U17" s="37"/>
      <c r="V17" s="37"/>
      <c r="W17" s="107">
        <f>W15+W16</f>
        <v>120</v>
      </c>
      <c r="X17" s="108"/>
      <c r="Y17" s="116"/>
      <c r="Z17" s="21"/>
    </row>
  </sheetData>
  <mergeCells count="4">
    <mergeCell ref="E2:I2"/>
    <mergeCell ref="J2:N2"/>
    <mergeCell ref="O2:S2"/>
    <mergeCell ref="T2:X2"/>
  </mergeCells>
  <pageMargins left="0.7" right="0.7" top="0.75" bottom="0.75" header="0.3" footer="0.3"/>
  <pageSetup paperSize="9" orientation="portrait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908B9-B53E-4162-B50A-52A65F3EF646}">
  <sheetPr>
    <tabColor rgb="FF0070C0"/>
  </sheetPr>
  <dimension ref="B1:AE17"/>
  <sheetViews>
    <sheetView showGridLines="0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M8" sqref="A8:M8"/>
    </sheetView>
  </sheetViews>
  <sheetFormatPr baseColWidth="10" defaultColWidth="11.44140625" defaultRowHeight="14.4" x14ac:dyDescent="0.3"/>
  <cols>
    <col min="1" max="1" width="3.109375" customWidth="1"/>
    <col min="2" max="2" width="15.33203125" customWidth="1"/>
    <col min="3" max="3" width="10.6640625" style="2" customWidth="1"/>
    <col min="4" max="4" width="14" style="2" customWidth="1"/>
    <col min="5" max="5" width="8.6640625" style="1" customWidth="1"/>
    <col min="6" max="7" width="8.6640625" style="2" customWidth="1"/>
    <col min="8" max="10" width="8.6640625" style="1" customWidth="1"/>
    <col min="11" max="12" width="8.6640625" customWidth="1"/>
    <col min="13" max="15" width="8.6640625" style="1" customWidth="1"/>
    <col min="16" max="17" width="8.6640625" customWidth="1"/>
    <col min="18" max="20" width="8.6640625" style="1" customWidth="1"/>
    <col min="21" max="22" width="8.6640625" customWidth="1"/>
    <col min="23" max="25" width="8.6640625" style="1" customWidth="1"/>
    <col min="26" max="27" width="8.6640625" customWidth="1"/>
    <col min="28" max="29" width="8.6640625" style="1" customWidth="1"/>
    <col min="30" max="30" width="15" customWidth="1"/>
    <col min="31" max="31" width="13" style="1" customWidth="1"/>
  </cols>
  <sheetData>
    <row r="1" spans="2:31" ht="15" thickBot="1" x14ac:dyDescent="0.35"/>
    <row r="2" spans="2:31" ht="14.4" customHeight="1" x14ac:dyDescent="0.3">
      <c r="B2" s="8" t="s">
        <v>0</v>
      </c>
      <c r="C2" s="2" t="s">
        <v>1</v>
      </c>
      <c r="E2" s="184" t="s">
        <v>146</v>
      </c>
      <c r="F2" s="185"/>
      <c r="G2" s="185"/>
      <c r="H2" s="185"/>
      <c r="I2" s="185"/>
      <c r="J2" s="186" t="s">
        <v>145</v>
      </c>
      <c r="K2" s="187"/>
      <c r="L2" s="187"/>
      <c r="M2" s="187"/>
      <c r="N2" s="188"/>
      <c r="O2" s="189" t="s">
        <v>144</v>
      </c>
      <c r="P2" s="189"/>
      <c r="Q2" s="189"/>
      <c r="R2" s="189"/>
      <c r="S2" s="190"/>
      <c r="T2" s="191" t="s">
        <v>143</v>
      </c>
      <c r="U2" s="192"/>
      <c r="V2" s="192"/>
      <c r="W2" s="192"/>
      <c r="X2" s="193"/>
      <c r="Y2" s="184" t="s">
        <v>142</v>
      </c>
      <c r="Z2" s="185"/>
      <c r="AA2" s="185"/>
      <c r="AB2" s="185"/>
      <c r="AC2" s="185"/>
    </row>
    <row r="3" spans="2:31" ht="38.25" customHeight="1" x14ac:dyDescent="0.3">
      <c r="B3" s="3"/>
      <c r="C3" s="59" t="s">
        <v>2</v>
      </c>
      <c r="D3" s="87" t="s">
        <v>3</v>
      </c>
      <c r="E3" s="92" t="s">
        <v>4</v>
      </c>
      <c r="F3" s="60" t="s">
        <v>5</v>
      </c>
      <c r="G3" s="60" t="s">
        <v>6</v>
      </c>
      <c r="H3" s="6" t="s">
        <v>7</v>
      </c>
      <c r="I3" s="109" t="s">
        <v>8</v>
      </c>
      <c r="J3" s="92" t="s">
        <v>4</v>
      </c>
      <c r="K3" s="11" t="s">
        <v>5</v>
      </c>
      <c r="L3" s="11" t="s">
        <v>9</v>
      </c>
      <c r="M3" s="6" t="s">
        <v>7</v>
      </c>
      <c r="N3" s="93" t="s">
        <v>8</v>
      </c>
      <c r="O3" s="146" t="s">
        <v>4</v>
      </c>
      <c r="P3" s="65" t="s">
        <v>5</v>
      </c>
      <c r="Q3" s="65" t="s">
        <v>9</v>
      </c>
      <c r="R3" s="6" t="s">
        <v>7</v>
      </c>
      <c r="S3" s="93" t="s">
        <v>8</v>
      </c>
      <c r="T3" s="92" t="s">
        <v>4</v>
      </c>
      <c r="U3" s="66" t="s">
        <v>5</v>
      </c>
      <c r="V3" s="66" t="s">
        <v>9</v>
      </c>
      <c r="W3" s="6" t="s">
        <v>7</v>
      </c>
      <c r="X3" s="93" t="s">
        <v>8</v>
      </c>
      <c r="Y3" s="92" t="s">
        <v>4</v>
      </c>
      <c r="Z3" s="60" t="s">
        <v>5</v>
      </c>
      <c r="AA3" s="60" t="s">
        <v>9</v>
      </c>
      <c r="AB3" s="6" t="s">
        <v>7</v>
      </c>
      <c r="AC3" s="93" t="s">
        <v>8</v>
      </c>
      <c r="AD3" s="114" t="s">
        <v>10</v>
      </c>
      <c r="AE3" s="59" t="s">
        <v>11</v>
      </c>
    </row>
    <row r="4" spans="2:31" x14ac:dyDescent="0.3">
      <c r="B4" s="3" t="s">
        <v>12</v>
      </c>
      <c r="C4" s="5">
        <v>50</v>
      </c>
      <c r="D4" s="88"/>
      <c r="E4" s="94">
        <v>287</v>
      </c>
      <c r="F4" s="46">
        <v>10</v>
      </c>
      <c r="G4" s="5">
        <v>6</v>
      </c>
      <c r="H4" s="4">
        <f>+I4+E4</f>
        <v>300</v>
      </c>
      <c r="I4" s="110">
        <v>13</v>
      </c>
      <c r="J4" s="97">
        <v>284</v>
      </c>
      <c r="K4" s="46">
        <v>9</v>
      </c>
      <c r="L4" s="5">
        <v>3</v>
      </c>
      <c r="M4" s="4">
        <f>+N4+J4</f>
        <v>300</v>
      </c>
      <c r="N4" s="151">
        <v>16</v>
      </c>
      <c r="O4" s="145">
        <v>286</v>
      </c>
      <c r="P4" s="5">
        <v>12</v>
      </c>
      <c r="Q4" s="5">
        <v>9</v>
      </c>
      <c r="R4" s="4">
        <f>+S4+O4</f>
        <v>298</v>
      </c>
      <c r="S4" s="95">
        <v>12</v>
      </c>
      <c r="T4" s="94">
        <v>287</v>
      </c>
      <c r="U4" s="5">
        <v>9</v>
      </c>
      <c r="V4" s="132">
        <v>1</v>
      </c>
      <c r="W4" s="4">
        <f>+X4+T4</f>
        <v>297</v>
      </c>
      <c r="X4" s="95">
        <v>10</v>
      </c>
      <c r="Y4" s="94">
        <v>284</v>
      </c>
      <c r="Z4" s="5">
        <v>10</v>
      </c>
      <c r="AA4" s="132">
        <v>0</v>
      </c>
      <c r="AB4" s="4">
        <f>+AC4+Y4</f>
        <v>298</v>
      </c>
      <c r="AC4" s="95">
        <v>14</v>
      </c>
      <c r="AD4" s="115">
        <f>+G4+L4+Q4+V4+AA4</f>
        <v>19</v>
      </c>
      <c r="AE4" s="13">
        <f>+AD4/(C4+D4)</f>
        <v>0.38</v>
      </c>
    </row>
    <row r="5" spans="2:31" x14ac:dyDescent="0.3">
      <c r="B5" s="15" t="s">
        <v>13</v>
      </c>
      <c r="C5" s="14"/>
      <c r="D5" s="89"/>
      <c r="E5" s="94">
        <v>11</v>
      </c>
      <c r="F5" s="14">
        <v>0</v>
      </c>
      <c r="G5" s="14">
        <v>0</v>
      </c>
      <c r="H5" s="17">
        <f>+E5+I5</f>
        <v>17</v>
      </c>
      <c r="I5" s="111">
        <v>6</v>
      </c>
      <c r="J5" s="154">
        <v>15</v>
      </c>
      <c r="K5" s="14">
        <v>0</v>
      </c>
      <c r="L5" s="14">
        <v>0</v>
      </c>
      <c r="M5" s="17">
        <f>+J5+N5</f>
        <v>16</v>
      </c>
      <c r="N5" s="98">
        <v>1</v>
      </c>
      <c r="O5" s="145">
        <v>16</v>
      </c>
      <c r="P5" s="14">
        <v>0</v>
      </c>
      <c r="Q5" s="14">
        <v>0</v>
      </c>
      <c r="R5" s="17">
        <f>+O5+S5</f>
        <v>16</v>
      </c>
      <c r="S5" s="96">
        <v>0</v>
      </c>
      <c r="T5" s="94">
        <v>17</v>
      </c>
      <c r="U5" s="4">
        <v>0</v>
      </c>
      <c r="V5" s="14">
        <v>0</v>
      </c>
      <c r="W5" s="17">
        <f>+T5+X5</f>
        <v>17</v>
      </c>
      <c r="X5" s="96">
        <v>0</v>
      </c>
      <c r="Y5" s="94">
        <v>17</v>
      </c>
      <c r="Z5" s="4">
        <v>0</v>
      </c>
      <c r="AA5" s="14">
        <v>0</v>
      </c>
      <c r="AB5" s="17">
        <f>+Y5+AC5</f>
        <v>18</v>
      </c>
      <c r="AC5" s="96">
        <v>1</v>
      </c>
      <c r="AD5" s="115">
        <f>+G5+L5+Q5+V5+AA5</f>
        <v>0</v>
      </c>
      <c r="AE5" s="13" t="e">
        <f>+AD5/(C5+D5)</f>
        <v>#DIV/0!</v>
      </c>
    </row>
    <row r="6" spans="2:31" ht="18.75" customHeight="1" x14ac:dyDescent="0.3">
      <c r="B6" s="18" t="s">
        <v>14</v>
      </c>
      <c r="C6" s="19"/>
      <c r="D6" s="90"/>
      <c r="E6" s="97"/>
      <c r="F6" s="4">
        <f>SUM(F4:F5)</f>
        <v>10</v>
      </c>
      <c r="G6" s="4">
        <f>SUM(G4:G5)</f>
        <v>6</v>
      </c>
      <c r="H6" s="5">
        <f>+H4+H5</f>
        <v>317</v>
      </c>
      <c r="I6" s="88">
        <f>SUM(I4:I5)</f>
        <v>19</v>
      </c>
      <c r="J6" s="97">
        <f>+J4+J5</f>
        <v>299</v>
      </c>
      <c r="K6" s="4">
        <f>SUM(K4:K5)</f>
        <v>9</v>
      </c>
      <c r="L6" s="4">
        <f>SUM(L4:L5)</f>
        <v>3</v>
      </c>
      <c r="M6" s="5">
        <f>+M4+M5</f>
        <v>316</v>
      </c>
      <c r="N6" s="98">
        <f>+N4+N5</f>
        <v>17</v>
      </c>
      <c r="O6" s="147">
        <f>+O4+O5</f>
        <v>302</v>
      </c>
      <c r="P6" s="4">
        <f>SUM(P4:P5)</f>
        <v>12</v>
      </c>
      <c r="Q6" s="4">
        <f>SUM(Q4:Q5)</f>
        <v>9</v>
      </c>
      <c r="R6" s="5">
        <f>+R4+R5</f>
        <v>314</v>
      </c>
      <c r="S6" s="98">
        <f>+S4+S5</f>
        <v>12</v>
      </c>
      <c r="T6" s="97">
        <f>+T4+T5</f>
        <v>304</v>
      </c>
      <c r="U6" s="4">
        <f>SUM(U4:U5)</f>
        <v>9</v>
      </c>
      <c r="V6" s="4">
        <f>SUM(V4:V5)</f>
        <v>1</v>
      </c>
      <c r="W6" s="5">
        <f>+W4+W5</f>
        <v>314</v>
      </c>
      <c r="X6" s="98">
        <f>+X4+X5</f>
        <v>10</v>
      </c>
      <c r="Y6" s="97">
        <f>+Y4+Y5</f>
        <v>301</v>
      </c>
      <c r="Z6" s="4">
        <f>SUM(Z4:Z5)</f>
        <v>10</v>
      </c>
      <c r="AA6" s="4">
        <f>SUM(AA4:AA5)</f>
        <v>0</v>
      </c>
      <c r="AB6" s="5">
        <f>+AB4+AB5</f>
        <v>316</v>
      </c>
      <c r="AC6" s="98">
        <f>+AC4+AC5</f>
        <v>15</v>
      </c>
      <c r="AD6" s="116"/>
      <c r="AE6" s="21"/>
    </row>
    <row r="7" spans="2:31" ht="12" customHeight="1" x14ac:dyDescent="0.3">
      <c r="E7" s="99"/>
      <c r="H7" s="2"/>
      <c r="I7" s="2"/>
      <c r="J7" s="99"/>
      <c r="M7" s="2"/>
      <c r="N7" s="100"/>
      <c r="O7" s="2"/>
      <c r="R7" s="2"/>
      <c r="S7" s="100"/>
      <c r="T7" s="99"/>
      <c r="W7" s="2"/>
      <c r="X7" s="100"/>
      <c r="Y7" s="99"/>
      <c r="AB7" s="2"/>
      <c r="AC7" s="100"/>
      <c r="AD7" s="12"/>
    </row>
    <row r="8" spans="2:31" ht="33.75" customHeight="1" x14ac:dyDescent="0.3">
      <c r="B8" s="3"/>
      <c r="C8" s="59" t="s">
        <v>2</v>
      </c>
      <c r="D8" s="87" t="s">
        <v>3</v>
      </c>
      <c r="E8" s="92" t="s">
        <v>4</v>
      </c>
      <c r="F8" s="60" t="s">
        <v>5</v>
      </c>
      <c r="G8" s="60" t="s">
        <v>6</v>
      </c>
      <c r="H8" s="6" t="s">
        <v>7</v>
      </c>
      <c r="I8" s="109" t="s">
        <v>8</v>
      </c>
      <c r="J8" s="92" t="s">
        <v>4</v>
      </c>
      <c r="K8" s="11" t="s">
        <v>5</v>
      </c>
      <c r="L8" s="11" t="s">
        <v>9</v>
      </c>
      <c r="M8" s="6" t="s">
        <v>7</v>
      </c>
      <c r="N8" s="93" t="s">
        <v>8</v>
      </c>
      <c r="O8" s="146" t="s">
        <v>4</v>
      </c>
      <c r="P8" s="65" t="s">
        <v>15</v>
      </c>
      <c r="Q8" s="65" t="s">
        <v>16</v>
      </c>
      <c r="R8" s="6" t="s">
        <v>7</v>
      </c>
      <c r="S8" s="93" t="s">
        <v>8</v>
      </c>
      <c r="T8" s="92" t="s">
        <v>4</v>
      </c>
      <c r="U8" s="66" t="s">
        <v>5</v>
      </c>
      <c r="V8" s="66" t="s">
        <v>9</v>
      </c>
      <c r="W8" s="6" t="s">
        <v>7</v>
      </c>
      <c r="X8" s="93" t="s">
        <v>8</v>
      </c>
      <c r="Y8" s="92" t="s">
        <v>4</v>
      </c>
      <c r="Z8" s="60" t="s">
        <v>5</v>
      </c>
      <c r="AA8" s="60" t="s">
        <v>9</v>
      </c>
      <c r="AB8" s="6" t="s">
        <v>7</v>
      </c>
      <c r="AC8" s="93" t="s">
        <v>8</v>
      </c>
      <c r="AD8" s="114" t="s">
        <v>10</v>
      </c>
      <c r="AE8" s="59" t="s">
        <v>11</v>
      </c>
    </row>
    <row r="9" spans="2:31" x14ac:dyDescent="0.3">
      <c r="B9" s="3" t="s">
        <v>17</v>
      </c>
      <c r="C9" s="5">
        <v>28</v>
      </c>
      <c r="D9" s="88"/>
      <c r="E9" s="101">
        <v>183</v>
      </c>
      <c r="F9" s="5">
        <v>6</v>
      </c>
      <c r="G9" s="5">
        <v>0</v>
      </c>
      <c r="H9" s="4">
        <f>+E9+I9</f>
        <v>207</v>
      </c>
      <c r="I9" s="110">
        <v>24</v>
      </c>
      <c r="J9" s="101">
        <v>179</v>
      </c>
      <c r="K9" s="5">
        <v>9</v>
      </c>
      <c r="L9" s="5">
        <v>1</v>
      </c>
      <c r="M9" s="4">
        <f>N9+J9</f>
        <v>203</v>
      </c>
      <c r="N9" s="95">
        <v>24</v>
      </c>
      <c r="O9" s="148">
        <v>181</v>
      </c>
      <c r="P9" s="5">
        <v>11</v>
      </c>
      <c r="Q9" s="5">
        <v>2</v>
      </c>
      <c r="R9" s="4">
        <f>+O9+S9</f>
        <v>196</v>
      </c>
      <c r="S9" s="95">
        <v>15</v>
      </c>
      <c r="T9" s="144">
        <v>172</v>
      </c>
      <c r="U9" s="5">
        <v>14</v>
      </c>
      <c r="V9" s="5">
        <v>3</v>
      </c>
      <c r="W9" s="4">
        <f>+T9+X9</f>
        <v>187</v>
      </c>
      <c r="X9" s="95">
        <v>15</v>
      </c>
      <c r="Y9" s="144">
        <v>179</v>
      </c>
      <c r="Z9" s="5">
        <v>10</v>
      </c>
      <c r="AA9" s="5">
        <v>0</v>
      </c>
      <c r="AB9" s="4">
        <f>+Y9+AC9</f>
        <v>196</v>
      </c>
      <c r="AC9" s="95">
        <v>17</v>
      </c>
      <c r="AD9" s="115">
        <f>+G9+L9+Q9+V9+AA9</f>
        <v>6</v>
      </c>
      <c r="AE9" s="13">
        <f>+AD9/(C9+D9)</f>
        <v>0.21428571428571427</v>
      </c>
    </row>
    <row r="10" spans="2:31" x14ac:dyDescent="0.3">
      <c r="E10" s="102"/>
      <c r="J10" s="102"/>
      <c r="N10" s="103"/>
      <c r="S10" s="103"/>
      <c r="T10" s="102"/>
      <c r="X10" s="103"/>
      <c r="Y10" s="102"/>
      <c r="AC10" s="103"/>
    </row>
    <row r="11" spans="2:31" ht="38.25" customHeight="1" x14ac:dyDescent="0.3">
      <c r="B11" s="15"/>
      <c r="C11" s="62" t="s">
        <v>2</v>
      </c>
      <c r="D11" s="91" t="s">
        <v>3</v>
      </c>
      <c r="E11" s="104" t="s">
        <v>4</v>
      </c>
      <c r="F11" s="63" t="s">
        <v>5</v>
      </c>
      <c r="G11" s="63" t="s">
        <v>6</v>
      </c>
      <c r="H11" s="61" t="s">
        <v>7</v>
      </c>
      <c r="I11" s="112" t="s">
        <v>8</v>
      </c>
      <c r="J11" s="104" t="s">
        <v>4</v>
      </c>
      <c r="K11" s="64" t="s">
        <v>5</v>
      </c>
      <c r="L11" s="11" t="s">
        <v>9</v>
      </c>
      <c r="M11" s="61" t="s">
        <v>7</v>
      </c>
      <c r="N11" s="105" t="s">
        <v>8</v>
      </c>
      <c r="O11" s="149" t="s">
        <v>4</v>
      </c>
      <c r="P11" s="65" t="s">
        <v>15</v>
      </c>
      <c r="Q11" s="65" t="s">
        <v>16</v>
      </c>
      <c r="R11" s="61" t="s">
        <v>7</v>
      </c>
      <c r="S11" s="105" t="s">
        <v>8</v>
      </c>
      <c r="T11" s="104" t="s">
        <v>4</v>
      </c>
      <c r="U11" s="66" t="s">
        <v>5</v>
      </c>
      <c r="V11" s="66" t="s">
        <v>9</v>
      </c>
      <c r="W11" s="61" t="s">
        <v>7</v>
      </c>
      <c r="X11" s="105" t="s">
        <v>8</v>
      </c>
      <c r="Y11" s="104" t="s">
        <v>4</v>
      </c>
      <c r="Z11" s="60" t="s">
        <v>5</v>
      </c>
      <c r="AA11" s="60" t="s">
        <v>9</v>
      </c>
      <c r="AB11" s="61" t="s">
        <v>7</v>
      </c>
      <c r="AC11" s="105" t="s">
        <v>8</v>
      </c>
      <c r="AD11" s="117" t="s">
        <v>10</v>
      </c>
      <c r="AE11" s="62" t="s">
        <v>11</v>
      </c>
    </row>
    <row r="12" spans="2:31" x14ac:dyDescent="0.3">
      <c r="B12" s="3" t="s">
        <v>18</v>
      </c>
      <c r="C12" s="5">
        <v>33</v>
      </c>
      <c r="D12" s="88"/>
      <c r="E12" s="101">
        <v>289</v>
      </c>
      <c r="F12" s="5">
        <v>15</v>
      </c>
      <c r="G12" s="5">
        <v>4</v>
      </c>
      <c r="H12" s="4">
        <f>+E12+I12</f>
        <v>333</v>
      </c>
      <c r="I12" s="110">
        <v>44</v>
      </c>
      <c r="J12" s="101">
        <v>263</v>
      </c>
      <c r="K12" s="5">
        <v>14</v>
      </c>
      <c r="L12" s="5">
        <v>7</v>
      </c>
      <c r="M12" s="4">
        <f>+J12+N12</f>
        <v>323</v>
      </c>
      <c r="N12" s="95">
        <v>60</v>
      </c>
      <c r="O12" s="148">
        <v>268</v>
      </c>
      <c r="P12" s="5">
        <v>12</v>
      </c>
      <c r="Q12" s="5">
        <v>4</v>
      </c>
      <c r="R12" s="4">
        <f>+O12+S12</f>
        <v>321</v>
      </c>
      <c r="S12" s="95">
        <v>53</v>
      </c>
      <c r="T12" s="144">
        <v>266</v>
      </c>
      <c r="U12" s="5">
        <v>9</v>
      </c>
      <c r="V12" s="5">
        <v>0</v>
      </c>
      <c r="W12" s="4">
        <f>+T12+X12</f>
        <v>321</v>
      </c>
      <c r="X12" s="95">
        <v>55</v>
      </c>
      <c r="Y12" s="144">
        <v>251</v>
      </c>
      <c r="Z12" s="5">
        <v>17</v>
      </c>
      <c r="AA12" s="5">
        <v>0</v>
      </c>
      <c r="AB12" s="4">
        <f>+Y12+AC12</f>
        <v>307</v>
      </c>
      <c r="AC12" s="95">
        <v>56</v>
      </c>
      <c r="AD12" s="115">
        <f>+G12+L12+Q12+V12+AA12</f>
        <v>15</v>
      </c>
      <c r="AE12" s="13">
        <f>+AD12/(C12+D12)</f>
        <v>0.45454545454545453</v>
      </c>
    </row>
    <row r="13" spans="2:31" ht="12" customHeight="1" x14ac:dyDescent="0.3">
      <c r="E13" s="102"/>
      <c r="J13" s="102"/>
      <c r="N13" s="103"/>
      <c r="S13" s="103"/>
      <c r="T13" s="102"/>
      <c r="X13" s="103"/>
      <c r="Y13" s="102"/>
      <c r="AC13" s="103"/>
    </row>
    <row r="14" spans="2:31" ht="34.5" customHeight="1" x14ac:dyDescent="0.3">
      <c r="B14" s="9" t="s">
        <v>19</v>
      </c>
      <c r="C14" s="59" t="s">
        <v>2</v>
      </c>
      <c r="D14" s="87" t="s">
        <v>3</v>
      </c>
      <c r="E14" s="92" t="s">
        <v>4</v>
      </c>
      <c r="F14" s="60" t="s">
        <v>5</v>
      </c>
      <c r="G14" s="60" t="s">
        <v>6</v>
      </c>
      <c r="H14" s="6" t="s">
        <v>7</v>
      </c>
      <c r="I14" s="109" t="s">
        <v>8</v>
      </c>
      <c r="J14" s="92" t="s">
        <v>4</v>
      </c>
      <c r="K14" s="11" t="s">
        <v>5</v>
      </c>
      <c r="L14" s="11" t="s">
        <v>9</v>
      </c>
      <c r="M14" s="6" t="s">
        <v>7</v>
      </c>
      <c r="N14" s="93" t="s">
        <v>8</v>
      </c>
      <c r="O14" s="146" t="s">
        <v>4</v>
      </c>
      <c r="P14" s="65" t="s">
        <v>15</v>
      </c>
      <c r="Q14" s="65" t="s">
        <v>16</v>
      </c>
      <c r="R14" s="6" t="s">
        <v>7</v>
      </c>
      <c r="S14" s="93" t="s">
        <v>8</v>
      </c>
      <c r="T14" s="92" t="s">
        <v>4</v>
      </c>
      <c r="U14" s="66" t="s">
        <v>5</v>
      </c>
      <c r="V14" s="66" t="s">
        <v>9</v>
      </c>
      <c r="W14" s="6" t="s">
        <v>7</v>
      </c>
      <c r="X14" s="93" t="s">
        <v>8</v>
      </c>
      <c r="Y14" s="92" t="s">
        <v>4</v>
      </c>
      <c r="Z14" s="60" t="s">
        <v>5</v>
      </c>
      <c r="AA14" s="60" t="s">
        <v>9</v>
      </c>
      <c r="AB14" s="6" t="s">
        <v>7</v>
      </c>
      <c r="AC14" s="93" t="s">
        <v>8</v>
      </c>
      <c r="AD14" s="114" t="s">
        <v>10</v>
      </c>
      <c r="AE14" s="59" t="s">
        <v>11</v>
      </c>
    </row>
    <row r="15" spans="2:31" x14ac:dyDescent="0.3">
      <c r="B15" s="7" t="s">
        <v>20</v>
      </c>
      <c r="C15" s="5">
        <v>5</v>
      </c>
      <c r="D15" s="88"/>
      <c r="E15" s="101">
        <v>81</v>
      </c>
      <c r="F15" s="5">
        <v>1</v>
      </c>
      <c r="G15" s="5">
        <v>1</v>
      </c>
      <c r="H15" s="4">
        <f>+E15+I15</f>
        <v>81</v>
      </c>
      <c r="I15" s="110"/>
      <c r="J15" s="101">
        <v>81</v>
      </c>
      <c r="K15" s="14">
        <v>1</v>
      </c>
      <c r="L15" s="14">
        <v>1</v>
      </c>
      <c r="M15" s="4">
        <f>+J15+N15</f>
        <v>81</v>
      </c>
      <c r="N15" s="95">
        <v>0</v>
      </c>
      <c r="O15" s="148">
        <v>82</v>
      </c>
      <c r="P15" s="5">
        <v>2</v>
      </c>
      <c r="Q15" s="5">
        <v>0</v>
      </c>
      <c r="R15" s="4">
        <f>+O15+S15</f>
        <v>82</v>
      </c>
      <c r="S15" s="95">
        <v>0</v>
      </c>
      <c r="T15" s="144">
        <v>83</v>
      </c>
      <c r="U15" s="5">
        <v>2</v>
      </c>
      <c r="V15" s="5">
        <v>2</v>
      </c>
      <c r="W15" s="4">
        <f>+T15+X15</f>
        <v>83</v>
      </c>
      <c r="X15" s="95">
        <v>0</v>
      </c>
      <c r="Y15" s="144">
        <v>80</v>
      </c>
      <c r="Z15" s="5">
        <v>1</v>
      </c>
      <c r="AA15" s="5">
        <v>0</v>
      </c>
      <c r="AB15" s="4">
        <f>+Y15+AC15</f>
        <v>80</v>
      </c>
      <c r="AC15" s="95">
        <v>0</v>
      </c>
      <c r="AD15" s="115">
        <f>+G15+L15+Q15+V15+AA15</f>
        <v>4</v>
      </c>
      <c r="AE15" s="13">
        <f>+AD15/(C15+D15)</f>
        <v>0.8</v>
      </c>
    </row>
    <row r="16" spans="2:31" x14ac:dyDescent="0.3">
      <c r="B16" s="7" t="s">
        <v>21</v>
      </c>
      <c r="C16" s="5">
        <v>2</v>
      </c>
      <c r="D16" s="88"/>
      <c r="E16" s="101">
        <v>40</v>
      </c>
      <c r="F16" s="5">
        <v>0</v>
      </c>
      <c r="G16" s="5">
        <v>0</v>
      </c>
      <c r="H16" s="4">
        <f>+E16+I16</f>
        <v>40</v>
      </c>
      <c r="I16" s="110"/>
      <c r="J16" s="101">
        <v>39</v>
      </c>
      <c r="K16" s="4">
        <v>0</v>
      </c>
      <c r="L16" s="14">
        <v>0</v>
      </c>
      <c r="M16" s="4">
        <f>+J16+N16</f>
        <v>39</v>
      </c>
      <c r="N16" s="95">
        <v>0</v>
      </c>
      <c r="O16" s="148">
        <v>39</v>
      </c>
      <c r="P16" s="5">
        <v>0</v>
      </c>
      <c r="Q16" s="5">
        <v>0</v>
      </c>
      <c r="R16" s="4">
        <f>+O16+S16</f>
        <v>39</v>
      </c>
      <c r="S16" s="95">
        <v>0</v>
      </c>
      <c r="T16" s="144">
        <v>38</v>
      </c>
      <c r="U16" s="4">
        <v>0</v>
      </c>
      <c r="V16" s="4">
        <v>0</v>
      </c>
      <c r="W16" s="4">
        <f>+T16+X16</f>
        <v>38</v>
      </c>
      <c r="X16" s="95">
        <v>0</v>
      </c>
      <c r="Y16" s="144">
        <v>38</v>
      </c>
      <c r="Z16" s="4">
        <v>1</v>
      </c>
      <c r="AA16" s="4">
        <v>0</v>
      </c>
      <c r="AB16" s="4">
        <f>+Y16+AC16</f>
        <v>38</v>
      </c>
      <c r="AC16" s="95">
        <v>0</v>
      </c>
      <c r="AD16" s="115">
        <f>+G16+L16+Q16+V16+AA16</f>
        <v>0</v>
      </c>
      <c r="AE16" s="13">
        <f>+AD16/(C16+D16)</f>
        <v>0</v>
      </c>
    </row>
    <row r="17" spans="2:31" ht="12" customHeight="1" thickBot="1" x14ac:dyDescent="0.35">
      <c r="B17" s="18" t="s">
        <v>22</v>
      </c>
      <c r="C17" s="19"/>
      <c r="D17" s="90"/>
      <c r="E17" s="106">
        <f>SUM(E15:E16)</f>
        <v>121</v>
      </c>
      <c r="F17" s="107">
        <f>SUM(F15:F16)</f>
        <v>1</v>
      </c>
      <c r="G17" s="107">
        <f>SUM(G15:G16)</f>
        <v>1</v>
      </c>
      <c r="H17" s="107">
        <f t="shared" ref="H17:N17" si="0">SUM(H15:H16)</f>
        <v>121</v>
      </c>
      <c r="I17" s="113">
        <f t="shared" si="0"/>
        <v>0</v>
      </c>
      <c r="J17" s="106">
        <f t="shared" si="0"/>
        <v>120</v>
      </c>
      <c r="K17" s="37">
        <f>SUM(K15:K16)</f>
        <v>1</v>
      </c>
      <c r="L17" s="37">
        <f>SUM(L15:L16)</f>
        <v>1</v>
      </c>
      <c r="M17" s="107">
        <f t="shared" si="0"/>
        <v>120</v>
      </c>
      <c r="N17" s="108">
        <f t="shared" si="0"/>
        <v>0</v>
      </c>
      <c r="O17" s="150">
        <f>+O15+O16</f>
        <v>121</v>
      </c>
      <c r="P17" s="37">
        <f>SUM(P15:P16)</f>
        <v>2</v>
      </c>
      <c r="Q17" s="37">
        <f>SUM(Q15:Q16)</f>
        <v>0</v>
      </c>
      <c r="R17" s="107">
        <f>R15+R16</f>
        <v>121</v>
      </c>
      <c r="S17" s="108"/>
      <c r="T17" s="106">
        <f>+T15+T16</f>
        <v>121</v>
      </c>
      <c r="U17" s="37">
        <f>SUM(U15:U16)</f>
        <v>2</v>
      </c>
      <c r="V17" s="37">
        <f>SUM(V15:V16)</f>
        <v>2</v>
      </c>
      <c r="W17" s="107">
        <f>W15+W16</f>
        <v>121</v>
      </c>
      <c r="X17" s="108"/>
      <c r="Y17" s="106">
        <f>+Y15+Y16</f>
        <v>118</v>
      </c>
      <c r="Z17" s="37">
        <f>SUM(Z15:Z16)</f>
        <v>2</v>
      </c>
      <c r="AA17" s="37">
        <f>SUM(AA15:AA16)</f>
        <v>0</v>
      </c>
      <c r="AB17" s="107">
        <f>AB15+AB16</f>
        <v>118</v>
      </c>
      <c r="AC17" s="108"/>
      <c r="AD17" s="116"/>
      <c r="AE17" s="21"/>
    </row>
  </sheetData>
  <mergeCells count="5">
    <mergeCell ref="E2:I2"/>
    <mergeCell ref="J2:N2"/>
    <mergeCell ref="O2:S2"/>
    <mergeCell ref="T2:X2"/>
    <mergeCell ref="Y2:AC2"/>
  </mergeCells>
  <pageMargins left="0.7" right="0.7" top="0.75" bottom="0.75" header="0.3" footer="0.3"/>
  <pageSetup paperSize="9" orientation="portrait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052A7-0555-4649-A6C1-676FDC58A449}">
  <sheetPr>
    <tabColor rgb="FFFFFF00"/>
  </sheetPr>
  <dimension ref="B1:Z22"/>
  <sheetViews>
    <sheetView showGridLines="0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11" sqref="A11"/>
    </sheetView>
  </sheetViews>
  <sheetFormatPr baseColWidth="10" defaultColWidth="11.44140625" defaultRowHeight="14.4" x14ac:dyDescent="0.3"/>
  <cols>
    <col min="1" max="1" width="3.109375" customWidth="1"/>
    <col min="2" max="2" width="15.33203125" customWidth="1"/>
    <col min="3" max="3" width="10.6640625" style="2" customWidth="1"/>
    <col min="4" max="4" width="14" style="2" customWidth="1"/>
    <col min="5" max="5" width="8.6640625" style="1" customWidth="1"/>
    <col min="6" max="7" width="8.6640625" style="2" customWidth="1"/>
    <col min="8" max="10" width="8.6640625" style="1" customWidth="1"/>
    <col min="11" max="12" width="8.6640625" customWidth="1"/>
    <col min="13" max="15" width="8.6640625" style="1" customWidth="1"/>
    <col min="16" max="17" width="8.6640625" customWidth="1"/>
    <col min="18" max="20" width="8.6640625" style="1" customWidth="1"/>
    <col min="21" max="22" width="8.6640625" customWidth="1"/>
    <col min="23" max="24" width="8.6640625" style="1" customWidth="1"/>
    <col min="25" max="25" width="15" customWidth="1"/>
    <col min="26" max="26" width="13" style="1" customWidth="1"/>
  </cols>
  <sheetData>
    <row r="1" spans="2:26" ht="15" thickBot="1" x14ac:dyDescent="0.35"/>
    <row r="2" spans="2:26" ht="14.4" customHeight="1" x14ac:dyDescent="0.3">
      <c r="B2" s="8" t="s">
        <v>0</v>
      </c>
      <c r="C2" s="2" t="s">
        <v>1</v>
      </c>
      <c r="E2" s="184" t="s">
        <v>150</v>
      </c>
      <c r="F2" s="185"/>
      <c r="G2" s="185"/>
      <c r="H2" s="185"/>
      <c r="I2" s="185"/>
      <c r="J2" s="186" t="s">
        <v>149</v>
      </c>
      <c r="K2" s="187"/>
      <c r="L2" s="187"/>
      <c r="M2" s="187"/>
      <c r="N2" s="188"/>
      <c r="O2" s="189" t="s">
        <v>148</v>
      </c>
      <c r="P2" s="189"/>
      <c r="Q2" s="189"/>
      <c r="R2" s="189"/>
      <c r="S2" s="190"/>
      <c r="T2" s="191" t="s">
        <v>147</v>
      </c>
      <c r="U2" s="192"/>
      <c r="V2" s="192"/>
      <c r="W2" s="192"/>
      <c r="X2" s="193"/>
    </row>
    <row r="3" spans="2:26" ht="38.25" customHeight="1" x14ac:dyDescent="0.3">
      <c r="B3" s="3"/>
      <c r="C3" s="59" t="s">
        <v>2</v>
      </c>
      <c r="D3" s="87" t="s">
        <v>3</v>
      </c>
      <c r="E3" s="92" t="s">
        <v>4</v>
      </c>
      <c r="F3" s="60" t="s">
        <v>5</v>
      </c>
      <c r="G3" s="60" t="s">
        <v>6</v>
      </c>
      <c r="H3" s="6" t="s">
        <v>7</v>
      </c>
      <c r="I3" s="109" t="s">
        <v>8</v>
      </c>
      <c r="J3" s="92" t="s">
        <v>4</v>
      </c>
      <c r="K3" s="11" t="s">
        <v>5</v>
      </c>
      <c r="L3" s="11" t="s">
        <v>9</v>
      </c>
      <c r="M3" s="6" t="s">
        <v>7</v>
      </c>
      <c r="N3" s="93" t="s">
        <v>8</v>
      </c>
      <c r="O3" s="146" t="s">
        <v>4</v>
      </c>
      <c r="P3" s="65" t="s">
        <v>5</v>
      </c>
      <c r="Q3" s="65" t="s">
        <v>9</v>
      </c>
      <c r="R3" s="6" t="s">
        <v>7</v>
      </c>
      <c r="S3" s="93" t="s">
        <v>8</v>
      </c>
      <c r="T3" s="92" t="s">
        <v>4</v>
      </c>
      <c r="U3" s="66" t="s">
        <v>5</v>
      </c>
      <c r="V3" s="66" t="s">
        <v>9</v>
      </c>
      <c r="W3" s="6" t="s">
        <v>7</v>
      </c>
      <c r="X3" s="93" t="s">
        <v>8</v>
      </c>
      <c r="Y3" s="114" t="s">
        <v>10</v>
      </c>
      <c r="Z3" s="59" t="s">
        <v>11</v>
      </c>
    </row>
    <row r="4" spans="2:26" x14ac:dyDescent="0.3">
      <c r="B4" s="3" t="s">
        <v>12</v>
      </c>
      <c r="C4" s="5">
        <v>56</v>
      </c>
      <c r="D4" s="88"/>
      <c r="E4" s="94">
        <v>273</v>
      </c>
      <c r="F4" s="46">
        <v>8</v>
      </c>
      <c r="G4" s="5">
        <v>3</v>
      </c>
      <c r="H4" s="4">
        <f>+I4+E4</f>
        <v>297</v>
      </c>
      <c r="I4" s="110">
        <v>24</v>
      </c>
      <c r="J4" s="97">
        <v>266</v>
      </c>
      <c r="K4" s="46">
        <v>11</v>
      </c>
      <c r="L4" s="5">
        <v>4</v>
      </c>
      <c r="M4" s="4">
        <f>+N4+J4</f>
        <v>293</v>
      </c>
      <c r="N4" s="151">
        <v>27</v>
      </c>
      <c r="O4" s="145">
        <v>281</v>
      </c>
      <c r="P4" s="5">
        <v>12</v>
      </c>
      <c r="Q4" s="5">
        <v>5</v>
      </c>
      <c r="R4" s="4">
        <f>+S4+O4</f>
        <v>296</v>
      </c>
      <c r="S4" s="95">
        <v>15</v>
      </c>
      <c r="T4" s="94">
        <v>275</v>
      </c>
      <c r="U4" s="5">
        <v>11</v>
      </c>
      <c r="V4" s="132">
        <v>5</v>
      </c>
      <c r="W4" s="4">
        <f>+X4+T4</f>
        <v>289</v>
      </c>
      <c r="X4" s="95">
        <v>14</v>
      </c>
      <c r="Y4" s="115">
        <f>+G4+L4+Q4+V4</f>
        <v>17</v>
      </c>
      <c r="Z4" s="13">
        <f>+Y4/(C4+D4)</f>
        <v>0.30357142857142855</v>
      </c>
    </row>
    <row r="5" spans="2:26" x14ac:dyDescent="0.3">
      <c r="B5" s="15" t="s">
        <v>13</v>
      </c>
      <c r="C5" s="14">
        <v>8</v>
      </c>
      <c r="D5" s="89"/>
      <c r="E5" s="94">
        <v>31</v>
      </c>
      <c r="F5" s="14"/>
      <c r="G5" s="14"/>
      <c r="H5" s="17">
        <f>+E5+I5</f>
        <v>48</v>
      </c>
      <c r="I5" s="111">
        <v>17</v>
      </c>
      <c r="J5" s="154">
        <v>33</v>
      </c>
      <c r="K5" s="14"/>
      <c r="L5" s="14"/>
      <c r="M5" s="17">
        <f>+J5+N5</f>
        <v>49</v>
      </c>
      <c r="N5" s="98">
        <v>16</v>
      </c>
      <c r="O5" s="145">
        <v>34</v>
      </c>
      <c r="P5" s="14"/>
      <c r="Q5" s="14"/>
      <c r="R5" s="17">
        <f>+O5+S5</f>
        <v>52</v>
      </c>
      <c r="S5" s="96">
        <v>18</v>
      </c>
      <c r="T5" s="94">
        <v>33</v>
      </c>
      <c r="U5" s="4"/>
      <c r="V5" s="14"/>
      <c r="W5" s="17">
        <f>+T5+X5</f>
        <v>51</v>
      </c>
      <c r="X5" s="96">
        <v>18</v>
      </c>
      <c r="Y5" s="115">
        <f>+G5+L5+Q5+V5</f>
        <v>0</v>
      </c>
      <c r="Z5" s="13">
        <f>+Y5/(C5+D5)</f>
        <v>0</v>
      </c>
    </row>
    <row r="6" spans="2:26" ht="18.75" customHeight="1" x14ac:dyDescent="0.3">
      <c r="B6" s="18" t="s">
        <v>14</v>
      </c>
      <c r="C6" s="19"/>
      <c r="D6" s="90"/>
      <c r="E6" s="97">
        <f>E4+E5</f>
        <v>304</v>
      </c>
      <c r="F6" s="4">
        <f>+F4+F5</f>
        <v>8</v>
      </c>
      <c r="G6" s="4">
        <f>G4+G5</f>
        <v>3</v>
      </c>
      <c r="H6" s="5">
        <f>+H4+H5</f>
        <v>345</v>
      </c>
      <c r="I6" s="88">
        <f>+I4+I5</f>
        <v>41</v>
      </c>
      <c r="J6" s="97">
        <f>+J4+J5</f>
        <v>299</v>
      </c>
      <c r="K6" s="4">
        <f>SUM(K4:K5)</f>
        <v>11</v>
      </c>
      <c r="L6" s="4">
        <f>SUM(L4:L5)</f>
        <v>4</v>
      </c>
      <c r="M6" s="5">
        <f>+M4+M5</f>
        <v>342</v>
      </c>
      <c r="N6" s="98">
        <f>+N4+N5</f>
        <v>43</v>
      </c>
      <c r="O6" s="147">
        <f>+O4+O5</f>
        <v>315</v>
      </c>
      <c r="P6" s="4">
        <f>SUM(P4:P5)</f>
        <v>12</v>
      </c>
      <c r="Q6" s="4">
        <f>SUM(Q4:Q5)</f>
        <v>5</v>
      </c>
      <c r="R6" s="5">
        <f>+R4+R5</f>
        <v>348</v>
      </c>
      <c r="S6" s="98">
        <f>+S4+S5</f>
        <v>33</v>
      </c>
      <c r="T6" s="97">
        <f>+T4+T5</f>
        <v>308</v>
      </c>
      <c r="U6" s="4">
        <f>SUM(U4:U5)</f>
        <v>11</v>
      </c>
      <c r="V6" s="4">
        <f>+V4+V5</f>
        <v>5</v>
      </c>
      <c r="W6" s="5">
        <f>+W4+W5</f>
        <v>340</v>
      </c>
      <c r="X6" s="98">
        <f>+X4+X5</f>
        <v>32</v>
      </c>
      <c r="Y6" s="116"/>
      <c r="Z6" s="21"/>
    </row>
    <row r="7" spans="2:26" ht="12" customHeight="1" x14ac:dyDescent="0.3">
      <c r="E7" s="99"/>
      <c r="H7" s="2"/>
      <c r="I7" s="2"/>
      <c r="J7" s="99"/>
      <c r="M7" s="2"/>
      <c r="N7" s="100"/>
      <c r="O7" s="2"/>
      <c r="R7" s="2"/>
      <c r="S7" s="100"/>
      <c r="T7" s="99"/>
      <c r="W7" s="2"/>
      <c r="X7" s="100"/>
      <c r="Y7" s="12"/>
    </row>
    <row r="8" spans="2:26" ht="33.75" customHeight="1" x14ac:dyDescent="0.3">
      <c r="B8" s="3"/>
      <c r="C8" s="59" t="s">
        <v>2</v>
      </c>
      <c r="D8" s="87" t="s">
        <v>3</v>
      </c>
      <c r="E8" s="92" t="s">
        <v>4</v>
      </c>
      <c r="F8" s="60" t="s">
        <v>5</v>
      </c>
      <c r="G8" s="60" t="s">
        <v>6</v>
      </c>
      <c r="H8" s="6" t="s">
        <v>7</v>
      </c>
      <c r="I8" s="109" t="s">
        <v>8</v>
      </c>
      <c r="J8" s="92" t="s">
        <v>4</v>
      </c>
      <c r="K8" s="11" t="s">
        <v>5</v>
      </c>
      <c r="L8" s="11" t="s">
        <v>9</v>
      </c>
      <c r="M8" s="6" t="s">
        <v>7</v>
      </c>
      <c r="N8" s="93" t="s">
        <v>8</v>
      </c>
      <c r="O8" s="146" t="s">
        <v>4</v>
      </c>
      <c r="P8" s="65" t="s">
        <v>15</v>
      </c>
      <c r="Q8" s="65" t="s">
        <v>16</v>
      </c>
      <c r="R8" s="6" t="s">
        <v>7</v>
      </c>
      <c r="S8" s="93" t="s">
        <v>8</v>
      </c>
      <c r="T8" s="92" t="s">
        <v>4</v>
      </c>
      <c r="U8" s="66" t="s">
        <v>5</v>
      </c>
      <c r="V8" s="66" t="s">
        <v>9</v>
      </c>
      <c r="W8" s="6" t="s">
        <v>7</v>
      </c>
      <c r="X8" s="93" t="s">
        <v>8</v>
      </c>
      <c r="Y8" s="114" t="s">
        <v>10</v>
      </c>
      <c r="Z8" s="59" t="s">
        <v>11</v>
      </c>
    </row>
    <row r="9" spans="2:26" x14ac:dyDescent="0.3">
      <c r="B9" s="3" t="s">
        <v>17</v>
      </c>
      <c r="C9" s="5">
        <v>22</v>
      </c>
      <c r="D9" s="88"/>
      <c r="E9" s="101">
        <v>236</v>
      </c>
      <c r="F9" s="5">
        <v>10</v>
      </c>
      <c r="G9" s="5">
        <v>2</v>
      </c>
      <c r="H9" s="4">
        <f>+E9+I9</f>
        <v>259</v>
      </c>
      <c r="I9" s="110">
        <v>23</v>
      </c>
      <c r="J9" s="101">
        <v>201</v>
      </c>
      <c r="K9" s="5">
        <v>14</v>
      </c>
      <c r="L9" s="5">
        <v>5</v>
      </c>
      <c r="M9" s="4">
        <f>N9+J9</f>
        <v>216</v>
      </c>
      <c r="N9" s="95">
        <v>15</v>
      </c>
      <c r="O9" s="148">
        <v>188</v>
      </c>
      <c r="P9" s="5">
        <v>7</v>
      </c>
      <c r="Q9" s="5">
        <v>1</v>
      </c>
      <c r="R9" s="4">
        <f>+O9+S9</f>
        <v>218</v>
      </c>
      <c r="S9" s="95">
        <v>30</v>
      </c>
      <c r="T9" s="144">
        <v>194</v>
      </c>
      <c r="U9" s="5">
        <v>4</v>
      </c>
      <c r="V9" s="5">
        <v>2</v>
      </c>
      <c r="W9" s="4">
        <f>+T9+X9</f>
        <v>216</v>
      </c>
      <c r="X9" s="95">
        <v>22</v>
      </c>
      <c r="Y9" s="115">
        <f>+G9+L9+Q9+V9</f>
        <v>10</v>
      </c>
      <c r="Z9" s="13">
        <f>+Y9/(C9+D9)</f>
        <v>0.45454545454545453</v>
      </c>
    </row>
    <row r="10" spans="2:26" x14ac:dyDescent="0.3">
      <c r="E10" s="102"/>
      <c r="J10" s="102"/>
      <c r="N10" s="103"/>
      <c r="S10" s="103"/>
      <c r="T10" s="102"/>
      <c r="X10" s="103"/>
    </row>
    <row r="11" spans="2:26" ht="38.25" customHeight="1" x14ac:dyDescent="0.3">
      <c r="B11" s="15"/>
      <c r="C11" s="62" t="s">
        <v>2</v>
      </c>
      <c r="D11" s="91" t="s">
        <v>3</v>
      </c>
      <c r="E11" s="104" t="s">
        <v>4</v>
      </c>
      <c r="F11" s="63" t="s">
        <v>5</v>
      </c>
      <c r="G11" s="63" t="s">
        <v>6</v>
      </c>
      <c r="H11" s="61" t="s">
        <v>7</v>
      </c>
      <c r="I11" s="112" t="s">
        <v>8</v>
      </c>
      <c r="J11" s="104" t="s">
        <v>4</v>
      </c>
      <c r="K11" s="64" t="s">
        <v>5</v>
      </c>
      <c r="L11" s="11" t="s">
        <v>9</v>
      </c>
      <c r="M11" s="61" t="s">
        <v>113</v>
      </c>
      <c r="N11" s="105" t="s">
        <v>8</v>
      </c>
      <c r="O11" s="149" t="s">
        <v>4</v>
      </c>
      <c r="P11" s="65" t="s">
        <v>15</v>
      </c>
      <c r="Q11" s="65" t="s">
        <v>16</v>
      </c>
      <c r="R11" s="61" t="s">
        <v>7</v>
      </c>
      <c r="S11" s="105" t="s">
        <v>8</v>
      </c>
      <c r="T11" s="104" t="s">
        <v>4</v>
      </c>
      <c r="U11" s="66" t="s">
        <v>5</v>
      </c>
      <c r="V11" s="66" t="s">
        <v>9</v>
      </c>
      <c r="W11" s="61" t="s">
        <v>7</v>
      </c>
      <c r="X11" s="105" t="s">
        <v>8</v>
      </c>
      <c r="Y11" s="117" t="s">
        <v>10</v>
      </c>
      <c r="Z11" s="62" t="s">
        <v>11</v>
      </c>
    </row>
    <row r="12" spans="2:26" x14ac:dyDescent="0.3">
      <c r="B12" s="3" t="s">
        <v>18</v>
      </c>
      <c r="C12" s="5">
        <v>30</v>
      </c>
      <c r="D12" s="88"/>
      <c r="E12" s="101">
        <v>306</v>
      </c>
      <c r="F12" s="5">
        <v>26</v>
      </c>
      <c r="G12" s="5">
        <v>8</v>
      </c>
      <c r="H12" s="4">
        <f>+E12+I12</f>
        <v>344</v>
      </c>
      <c r="I12" s="110">
        <v>38</v>
      </c>
      <c r="J12" s="101">
        <v>301</v>
      </c>
      <c r="K12" s="5">
        <v>25</v>
      </c>
      <c r="L12" s="5">
        <v>6</v>
      </c>
      <c r="M12" s="4">
        <f>+J12+N12</f>
        <v>350</v>
      </c>
      <c r="N12" s="95">
        <v>49</v>
      </c>
      <c r="O12" s="148">
        <v>294</v>
      </c>
      <c r="P12" s="5">
        <v>15</v>
      </c>
      <c r="Q12" s="5">
        <v>5</v>
      </c>
      <c r="R12" s="4">
        <f>+O12+S12</f>
        <v>352</v>
      </c>
      <c r="S12" s="95">
        <v>58</v>
      </c>
      <c r="T12" s="144">
        <v>291</v>
      </c>
      <c r="U12" s="5">
        <v>21</v>
      </c>
      <c r="V12" s="5">
        <v>7</v>
      </c>
      <c r="W12" s="4">
        <f>+T12+X12</f>
        <v>307</v>
      </c>
      <c r="X12" s="95">
        <v>16</v>
      </c>
      <c r="Y12" s="115">
        <f>+G12+L12+Q12+V12</f>
        <v>26</v>
      </c>
      <c r="Z12" s="13">
        <f>+Y12/(C12+D12)</f>
        <v>0.8666666666666667</v>
      </c>
    </row>
    <row r="13" spans="2:26" ht="12" customHeight="1" x14ac:dyDescent="0.3">
      <c r="E13" s="102"/>
      <c r="J13" s="102"/>
      <c r="N13" s="103"/>
      <c r="S13" s="103"/>
      <c r="T13" s="102"/>
      <c r="X13" s="103"/>
    </row>
    <row r="14" spans="2:26" ht="34.5" customHeight="1" x14ac:dyDescent="0.3">
      <c r="B14" s="9" t="s">
        <v>19</v>
      </c>
      <c r="C14" s="59" t="s">
        <v>2</v>
      </c>
      <c r="D14" s="87" t="s">
        <v>3</v>
      </c>
      <c r="E14" s="92" t="s">
        <v>4</v>
      </c>
      <c r="F14" s="60" t="s">
        <v>5</v>
      </c>
      <c r="G14" s="60" t="s">
        <v>6</v>
      </c>
      <c r="H14" s="6" t="s">
        <v>7</v>
      </c>
      <c r="I14" s="109" t="s">
        <v>8</v>
      </c>
      <c r="J14" s="92" t="s">
        <v>4</v>
      </c>
      <c r="K14" s="11" t="s">
        <v>5</v>
      </c>
      <c r="L14" s="11" t="s">
        <v>9</v>
      </c>
      <c r="M14" s="6" t="s">
        <v>7</v>
      </c>
      <c r="N14" s="93" t="s">
        <v>8</v>
      </c>
      <c r="O14" s="146" t="s">
        <v>4</v>
      </c>
      <c r="P14" s="65" t="s">
        <v>15</v>
      </c>
      <c r="Q14" s="65" t="s">
        <v>16</v>
      </c>
      <c r="R14" s="6" t="s">
        <v>7</v>
      </c>
      <c r="S14" s="93" t="s">
        <v>8</v>
      </c>
      <c r="T14" s="92" t="s">
        <v>4</v>
      </c>
      <c r="U14" s="66" t="s">
        <v>5</v>
      </c>
      <c r="V14" s="66" t="s">
        <v>9</v>
      </c>
      <c r="W14" s="6" t="s">
        <v>7</v>
      </c>
      <c r="X14" s="93" t="s">
        <v>8</v>
      </c>
      <c r="Y14" s="114" t="s">
        <v>10</v>
      </c>
      <c r="Z14" s="59" t="s">
        <v>11</v>
      </c>
    </row>
    <row r="15" spans="2:26" x14ac:dyDescent="0.3">
      <c r="B15" s="7" t="s">
        <v>20</v>
      </c>
      <c r="C15" s="5">
        <v>5</v>
      </c>
      <c r="D15" s="88"/>
      <c r="E15" s="101">
        <v>77</v>
      </c>
      <c r="F15" s="5">
        <v>1</v>
      </c>
      <c r="G15" s="5">
        <v>1</v>
      </c>
      <c r="H15" s="4">
        <f>+E15+I15</f>
        <v>77</v>
      </c>
      <c r="I15" s="110">
        <v>0</v>
      </c>
      <c r="J15" s="101">
        <v>79</v>
      </c>
      <c r="K15" s="14">
        <v>2</v>
      </c>
      <c r="L15" s="14">
        <v>1</v>
      </c>
      <c r="M15" s="4">
        <f>+J15+N15</f>
        <v>79</v>
      </c>
      <c r="N15" s="95">
        <v>0</v>
      </c>
      <c r="O15" s="148">
        <v>80</v>
      </c>
      <c r="P15" s="5">
        <v>1</v>
      </c>
      <c r="Q15" s="5">
        <v>0</v>
      </c>
      <c r="R15" s="4">
        <f>+O15+S15</f>
        <v>80</v>
      </c>
      <c r="S15" s="95">
        <v>0</v>
      </c>
      <c r="T15" s="144">
        <v>80</v>
      </c>
      <c r="U15" s="5">
        <v>1</v>
      </c>
      <c r="V15" s="5">
        <v>0</v>
      </c>
      <c r="W15" s="4">
        <f>+T15+X15</f>
        <v>80</v>
      </c>
      <c r="X15" s="95">
        <v>0</v>
      </c>
      <c r="Y15" s="115">
        <f>+G15+L15+Q15+V15</f>
        <v>2</v>
      </c>
      <c r="Z15" s="13">
        <f>+Y15/(C15+D15)</f>
        <v>0.4</v>
      </c>
    </row>
    <row r="16" spans="2:26" x14ac:dyDescent="0.3">
      <c r="B16" s="7" t="s">
        <v>21</v>
      </c>
      <c r="C16" s="5">
        <v>2</v>
      </c>
      <c r="D16" s="88"/>
      <c r="E16" s="101">
        <v>37</v>
      </c>
      <c r="F16" s="5"/>
      <c r="G16" s="5"/>
      <c r="H16" s="4">
        <f>+E16+I16</f>
        <v>37</v>
      </c>
      <c r="I16" s="110">
        <v>0</v>
      </c>
      <c r="J16" s="101">
        <v>37</v>
      </c>
      <c r="K16" s="4"/>
      <c r="L16" s="14"/>
      <c r="M16" s="4">
        <f>+J16+N16</f>
        <v>37</v>
      </c>
      <c r="N16" s="95">
        <v>0</v>
      </c>
      <c r="O16" s="148">
        <v>36</v>
      </c>
      <c r="P16" s="5"/>
      <c r="Q16" s="5"/>
      <c r="R16" s="4">
        <f>+O16+S16</f>
        <v>36</v>
      </c>
      <c r="S16" s="95">
        <v>0</v>
      </c>
      <c r="T16" s="144">
        <v>38</v>
      </c>
      <c r="U16" s="4"/>
      <c r="V16" s="4"/>
      <c r="W16" s="4">
        <f>+T16+X16</f>
        <v>38</v>
      </c>
      <c r="X16" s="95">
        <v>0</v>
      </c>
      <c r="Y16" s="115">
        <f>+G16+L16+Q16+V16</f>
        <v>0</v>
      </c>
      <c r="Z16" s="13">
        <f>+Y16/(C16+D16)</f>
        <v>0</v>
      </c>
    </row>
    <row r="17" spans="2:26" ht="12" customHeight="1" thickBot="1" x14ac:dyDescent="0.35">
      <c r="B17" s="18" t="s">
        <v>22</v>
      </c>
      <c r="C17" s="19"/>
      <c r="D17" s="90"/>
      <c r="E17" s="106">
        <f>SUM(E15:E16)</f>
        <v>114</v>
      </c>
      <c r="F17" s="107">
        <f>+F15+F16</f>
        <v>1</v>
      </c>
      <c r="G17" s="107">
        <f t="shared" ref="G17:N17" si="0">SUM(G15:G16)</f>
        <v>1</v>
      </c>
      <c r="H17" s="107">
        <f t="shared" si="0"/>
        <v>114</v>
      </c>
      <c r="I17" s="113">
        <f t="shared" si="0"/>
        <v>0</v>
      </c>
      <c r="J17" s="106">
        <f t="shared" si="0"/>
        <v>116</v>
      </c>
      <c r="K17" s="37">
        <f t="shared" si="0"/>
        <v>2</v>
      </c>
      <c r="L17" s="37">
        <f t="shared" si="0"/>
        <v>1</v>
      </c>
      <c r="M17" s="107">
        <f t="shared" si="0"/>
        <v>116</v>
      </c>
      <c r="N17" s="108">
        <f t="shared" si="0"/>
        <v>0</v>
      </c>
      <c r="O17" s="150">
        <f>+O15+O16</f>
        <v>116</v>
      </c>
      <c r="P17" s="37">
        <f>SUM(P15:P16)</f>
        <v>1</v>
      </c>
      <c r="Q17" s="37">
        <f>SUM(Q15:Q16)</f>
        <v>0</v>
      </c>
      <c r="R17" s="107">
        <f>R15+R16</f>
        <v>116</v>
      </c>
      <c r="S17" s="108"/>
      <c r="T17" s="106">
        <f>+T15+T16</f>
        <v>118</v>
      </c>
      <c r="U17" s="37">
        <f>SUM(U15:U16)</f>
        <v>1</v>
      </c>
      <c r="V17" s="37">
        <v>0</v>
      </c>
      <c r="W17" s="107">
        <f>W15+W16</f>
        <v>118</v>
      </c>
      <c r="X17" s="108"/>
      <c r="Y17" s="116"/>
      <c r="Z17" s="21"/>
    </row>
    <row r="19" spans="2:26" x14ac:dyDescent="0.3">
      <c r="Y19">
        <v>17</v>
      </c>
    </row>
    <row r="20" spans="2:26" x14ac:dyDescent="0.3">
      <c r="Y20">
        <v>10</v>
      </c>
    </row>
    <row r="21" spans="2:26" x14ac:dyDescent="0.3">
      <c r="Y21">
        <v>26</v>
      </c>
    </row>
    <row r="22" spans="2:26" x14ac:dyDescent="0.3">
      <c r="Y22">
        <v>2</v>
      </c>
    </row>
  </sheetData>
  <mergeCells count="4">
    <mergeCell ref="E2:I2"/>
    <mergeCell ref="J2:N2"/>
    <mergeCell ref="O2:S2"/>
    <mergeCell ref="T2:X2"/>
  </mergeCells>
  <pageMargins left="0.7" right="0.7" top="0.75" bottom="0.75" header="0.3" footer="0.3"/>
  <pageSetup paperSize="9" orientation="portrait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C2E34-A807-44D1-9DD4-EA6BB1A087D2}">
  <sheetPr>
    <tabColor rgb="FF00B050"/>
  </sheetPr>
  <dimension ref="B1:Z21"/>
  <sheetViews>
    <sheetView showGridLines="0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B2" sqref="B2"/>
    </sheetView>
  </sheetViews>
  <sheetFormatPr baseColWidth="10" defaultColWidth="11.44140625" defaultRowHeight="14.4" x14ac:dyDescent="0.3"/>
  <cols>
    <col min="1" max="1" width="3.109375" customWidth="1"/>
    <col min="2" max="2" width="15.33203125" customWidth="1"/>
    <col min="3" max="3" width="10.6640625" style="2" customWidth="1"/>
    <col min="4" max="4" width="14" style="2" customWidth="1"/>
    <col min="5" max="5" width="8.6640625" style="1" customWidth="1"/>
    <col min="6" max="7" width="8.6640625" style="2" customWidth="1"/>
    <col min="8" max="10" width="8.6640625" style="1" customWidth="1"/>
    <col min="11" max="12" width="8.6640625" customWidth="1"/>
    <col min="13" max="15" width="8.6640625" style="1" customWidth="1"/>
    <col min="16" max="17" width="8.6640625" customWidth="1"/>
    <col min="18" max="20" width="8.6640625" style="1" customWidth="1"/>
    <col min="21" max="22" width="8.6640625" customWidth="1"/>
    <col min="23" max="24" width="8.6640625" style="1" customWidth="1"/>
    <col min="25" max="25" width="15" customWidth="1"/>
    <col min="26" max="26" width="13" style="1" customWidth="1"/>
  </cols>
  <sheetData>
    <row r="1" spans="2:26" ht="15" thickBot="1" x14ac:dyDescent="0.35"/>
    <row r="2" spans="2:26" ht="14.4" customHeight="1" x14ac:dyDescent="0.3">
      <c r="B2" s="8" t="s">
        <v>0</v>
      </c>
      <c r="C2" s="2" t="s">
        <v>1</v>
      </c>
      <c r="E2" s="184" t="s">
        <v>105</v>
      </c>
      <c r="F2" s="185"/>
      <c r="G2" s="185"/>
      <c r="H2" s="185"/>
      <c r="I2" s="185"/>
      <c r="J2" s="186" t="s">
        <v>106</v>
      </c>
      <c r="K2" s="187"/>
      <c r="L2" s="187"/>
      <c r="M2" s="187"/>
      <c r="N2" s="188"/>
      <c r="O2" s="194" t="s">
        <v>107</v>
      </c>
      <c r="P2" s="189"/>
      <c r="Q2" s="189"/>
      <c r="R2" s="189"/>
      <c r="S2" s="190"/>
      <c r="T2" s="191" t="s">
        <v>108</v>
      </c>
      <c r="U2" s="192"/>
      <c r="V2" s="192"/>
      <c r="W2" s="192"/>
      <c r="X2" s="193"/>
    </row>
    <row r="3" spans="2:26" ht="38.25" customHeight="1" x14ac:dyDescent="0.3">
      <c r="B3" s="3"/>
      <c r="C3" s="59" t="s">
        <v>2</v>
      </c>
      <c r="D3" s="87" t="s">
        <v>3</v>
      </c>
      <c r="E3" s="92" t="s">
        <v>4</v>
      </c>
      <c r="F3" s="60" t="s">
        <v>5</v>
      </c>
      <c r="G3" s="60" t="s">
        <v>6</v>
      </c>
      <c r="H3" s="6" t="s">
        <v>7</v>
      </c>
      <c r="I3" s="109" t="s">
        <v>8</v>
      </c>
      <c r="J3" s="92" t="s">
        <v>4</v>
      </c>
      <c r="K3" s="11" t="s">
        <v>5</v>
      </c>
      <c r="L3" s="11" t="s">
        <v>9</v>
      </c>
      <c r="M3" s="6" t="s">
        <v>7</v>
      </c>
      <c r="N3" s="93" t="s">
        <v>8</v>
      </c>
      <c r="O3" s="92" t="s">
        <v>4</v>
      </c>
      <c r="P3" s="65" t="s">
        <v>5</v>
      </c>
      <c r="Q3" s="65" t="s">
        <v>9</v>
      </c>
      <c r="R3" s="6" t="s">
        <v>7</v>
      </c>
      <c r="S3" s="93" t="s">
        <v>8</v>
      </c>
      <c r="T3" s="92" t="s">
        <v>4</v>
      </c>
      <c r="U3" s="66" t="s">
        <v>5</v>
      </c>
      <c r="V3" s="66" t="s">
        <v>9</v>
      </c>
      <c r="W3" s="6" t="s">
        <v>7</v>
      </c>
      <c r="X3" s="93" t="s">
        <v>8</v>
      </c>
      <c r="Y3" s="114" t="s">
        <v>10</v>
      </c>
      <c r="Z3" s="59" t="s">
        <v>11</v>
      </c>
    </row>
    <row r="4" spans="2:26" x14ac:dyDescent="0.3">
      <c r="B4" s="3" t="s">
        <v>12</v>
      </c>
      <c r="C4" s="5">
        <v>52</v>
      </c>
      <c r="D4" s="88"/>
      <c r="E4" s="94">
        <v>287</v>
      </c>
      <c r="F4" s="46">
        <v>10</v>
      </c>
      <c r="G4" s="5">
        <v>5</v>
      </c>
      <c r="H4" s="4">
        <f>+I4+E4</f>
        <v>303</v>
      </c>
      <c r="I4" s="110">
        <v>16</v>
      </c>
      <c r="J4" s="197">
        <v>321</v>
      </c>
      <c r="K4" s="46">
        <v>12</v>
      </c>
      <c r="L4" s="5">
        <v>1</v>
      </c>
      <c r="M4" s="4">
        <f>+N4+J4</f>
        <v>348</v>
      </c>
      <c r="N4" s="195">
        <v>27</v>
      </c>
      <c r="O4" s="94">
        <v>280</v>
      </c>
      <c r="P4" s="5">
        <v>10</v>
      </c>
      <c r="Q4" s="5">
        <v>4</v>
      </c>
      <c r="R4" s="4">
        <f>+S4+O4</f>
        <v>293</v>
      </c>
      <c r="S4" s="95">
        <v>13</v>
      </c>
      <c r="T4" s="143">
        <v>282</v>
      </c>
      <c r="U4" s="5">
        <v>13</v>
      </c>
      <c r="V4" s="132">
        <v>2</v>
      </c>
      <c r="W4" s="4">
        <f>+X4+T4</f>
        <v>293</v>
      </c>
      <c r="X4" s="95">
        <v>11</v>
      </c>
      <c r="Y4" s="115">
        <f>+G4+L4+Q4+V4</f>
        <v>12</v>
      </c>
      <c r="Z4" s="13">
        <f>+Y4/(C4+D4)</f>
        <v>0.23076923076923078</v>
      </c>
    </row>
    <row r="5" spans="2:26" x14ac:dyDescent="0.3">
      <c r="B5" s="15" t="s">
        <v>13</v>
      </c>
      <c r="C5" s="14">
        <v>9</v>
      </c>
      <c r="D5" s="89"/>
      <c r="E5" s="94">
        <v>34</v>
      </c>
      <c r="F5" s="14"/>
      <c r="G5" s="14"/>
      <c r="H5" s="17">
        <f>+E5+I5</f>
        <v>36</v>
      </c>
      <c r="I5" s="111">
        <v>2</v>
      </c>
      <c r="J5" s="198"/>
      <c r="K5" s="14"/>
      <c r="L5" s="14"/>
      <c r="M5" s="17">
        <f>+J5+N5</f>
        <v>0</v>
      </c>
      <c r="N5" s="196"/>
      <c r="O5" s="94">
        <v>33</v>
      </c>
      <c r="P5" s="14"/>
      <c r="Q5" s="14"/>
      <c r="R5" s="17">
        <f>+O5+S5</f>
        <v>48</v>
      </c>
      <c r="S5" s="96">
        <v>15</v>
      </c>
      <c r="T5" s="143">
        <v>32</v>
      </c>
      <c r="U5" s="4"/>
      <c r="V5" s="14">
        <v>1</v>
      </c>
      <c r="W5" s="17">
        <f>+T5+X5</f>
        <v>48</v>
      </c>
      <c r="X5" s="96">
        <v>16</v>
      </c>
      <c r="Y5" s="115">
        <f>+G5+L5+Q5+V5</f>
        <v>1</v>
      </c>
      <c r="Z5" s="13">
        <f>+Y5/(C5+D5)</f>
        <v>0.1111111111111111</v>
      </c>
    </row>
    <row r="6" spans="2:26" ht="18.75" customHeight="1" x14ac:dyDescent="0.3">
      <c r="B6" s="18" t="s">
        <v>14</v>
      </c>
      <c r="C6" s="19"/>
      <c r="D6" s="90"/>
      <c r="E6" s="97">
        <f>E4+E5</f>
        <v>321</v>
      </c>
      <c r="F6" s="4">
        <f>+F4+F5</f>
        <v>10</v>
      </c>
      <c r="G6" s="4">
        <f>G4+G5</f>
        <v>5</v>
      </c>
      <c r="H6" s="5">
        <f>+H4+H5</f>
        <v>339</v>
      </c>
      <c r="I6" s="88">
        <f>+I4+I5</f>
        <v>18</v>
      </c>
      <c r="J6" s="97">
        <f>+J4+J5</f>
        <v>321</v>
      </c>
      <c r="K6" s="4">
        <f>SUM(K4:K5)</f>
        <v>12</v>
      </c>
      <c r="L6" s="4">
        <f>SUM(L4:L5)</f>
        <v>1</v>
      </c>
      <c r="M6" s="5">
        <f>+M4+M5</f>
        <v>348</v>
      </c>
      <c r="N6" s="98">
        <f>+N4+N5</f>
        <v>27</v>
      </c>
      <c r="O6" s="97">
        <f>+O4+O5</f>
        <v>313</v>
      </c>
      <c r="P6" s="4">
        <f>SUM(P4:P5)</f>
        <v>10</v>
      </c>
      <c r="Q6" s="4">
        <f>SUM(Q4:Q5)</f>
        <v>4</v>
      </c>
      <c r="R6" s="5">
        <f>+R4+R5</f>
        <v>341</v>
      </c>
      <c r="S6" s="98">
        <f>+S4+S5</f>
        <v>28</v>
      </c>
      <c r="T6" s="97">
        <f>+T4+T5</f>
        <v>314</v>
      </c>
      <c r="U6" s="4">
        <f>SUM(U4:U5)</f>
        <v>13</v>
      </c>
      <c r="V6" s="4">
        <f>+V4+V5</f>
        <v>3</v>
      </c>
      <c r="W6" s="5">
        <f>+W4+W5</f>
        <v>341</v>
      </c>
      <c r="X6" s="98">
        <f>+X4+X5</f>
        <v>27</v>
      </c>
      <c r="Y6" s="116"/>
      <c r="Z6" s="21"/>
    </row>
    <row r="7" spans="2:26" ht="12" customHeight="1" x14ac:dyDescent="0.3">
      <c r="E7" s="99"/>
      <c r="H7" s="2"/>
      <c r="I7" s="2"/>
      <c r="J7" s="99"/>
      <c r="M7" s="2"/>
      <c r="N7" s="100"/>
      <c r="O7" s="99"/>
      <c r="R7" s="2"/>
      <c r="S7" s="100"/>
      <c r="T7" s="99"/>
      <c r="W7" s="2"/>
      <c r="X7" s="100"/>
      <c r="Y7" s="12"/>
    </row>
    <row r="8" spans="2:26" ht="33.75" customHeight="1" x14ac:dyDescent="0.3">
      <c r="B8" s="3"/>
      <c r="C8" s="59" t="s">
        <v>2</v>
      </c>
      <c r="D8" s="87" t="s">
        <v>3</v>
      </c>
      <c r="E8" s="92" t="s">
        <v>4</v>
      </c>
      <c r="F8" s="60" t="s">
        <v>5</v>
      </c>
      <c r="G8" s="60" t="s">
        <v>6</v>
      </c>
      <c r="H8" s="6" t="s">
        <v>7</v>
      </c>
      <c r="I8" s="109" t="s">
        <v>8</v>
      </c>
      <c r="J8" s="92" t="s">
        <v>4</v>
      </c>
      <c r="K8" s="11" t="s">
        <v>5</v>
      </c>
      <c r="L8" s="11" t="s">
        <v>9</v>
      </c>
      <c r="M8" s="6" t="s">
        <v>7</v>
      </c>
      <c r="N8" s="93" t="s">
        <v>8</v>
      </c>
      <c r="O8" s="92" t="s">
        <v>4</v>
      </c>
      <c r="P8" s="65" t="s">
        <v>15</v>
      </c>
      <c r="Q8" s="65" t="s">
        <v>16</v>
      </c>
      <c r="R8" s="6" t="s">
        <v>7</v>
      </c>
      <c r="S8" s="93" t="s">
        <v>8</v>
      </c>
      <c r="T8" s="92" t="s">
        <v>4</v>
      </c>
      <c r="U8" s="66" t="s">
        <v>5</v>
      </c>
      <c r="V8" s="66" t="s">
        <v>9</v>
      </c>
      <c r="W8" s="6" t="s">
        <v>7</v>
      </c>
      <c r="X8" s="93" t="s">
        <v>8</v>
      </c>
      <c r="Y8" s="114" t="s">
        <v>10</v>
      </c>
      <c r="Z8" s="59" t="s">
        <v>11</v>
      </c>
    </row>
    <row r="9" spans="2:26" x14ac:dyDescent="0.3">
      <c r="B9" s="3" t="s">
        <v>17</v>
      </c>
      <c r="C9" s="5">
        <v>26</v>
      </c>
      <c r="D9" s="88"/>
      <c r="E9" s="101">
        <v>196</v>
      </c>
      <c r="F9" s="5">
        <v>11</v>
      </c>
      <c r="G9" s="5">
        <v>5</v>
      </c>
      <c r="H9" s="4">
        <f>+E9+I9</f>
        <v>215</v>
      </c>
      <c r="I9" s="110">
        <v>19</v>
      </c>
      <c r="J9" s="101">
        <v>192</v>
      </c>
      <c r="K9" s="5">
        <v>13</v>
      </c>
      <c r="L9" s="5">
        <v>8</v>
      </c>
      <c r="M9" s="4">
        <f>N9+J9</f>
        <v>217</v>
      </c>
      <c r="N9" s="95">
        <v>25</v>
      </c>
      <c r="O9" s="101">
        <v>201</v>
      </c>
      <c r="P9" s="5">
        <v>14</v>
      </c>
      <c r="Q9" s="5">
        <v>7</v>
      </c>
      <c r="R9" s="4">
        <f>+O9+S9</f>
        <v>228</v>
      </c>
      <c r="S9" s="95">
        <v>27</v>
      </c>
      <c r="T9" s="144">
        <v>196</v>
      </c>
      <c r="U9" s="5">
        <v>11</v>
      </c>
      <c r="V9" s="5">
        <v>3</v>
      </c>
      <c r="W9" s="4">
        <f>+T9+X9</f>
        <v>221</v>
      </c>
      <c r="X9" s="95">
        <v>25</v>
      </c>
      <c r="Y9" s="115">
        <f>+G9+L9+Q9+V9</f>
        <v>23</v>
      </c>
      <c r="Z9" s="13">
        <f>+Y9/(C9+D9)</f>
        <v>0.88461538461538458</v>
      </c>
    </row>
    <row r="10" spans="2:26" x14ac:dyDescent="0.3">
      <c r="E10" s="102"/>
      <c r="J10" s="102"/>
      <c r="N10" s="103"/>
      <c r="O10" s="102"/>
      <c r="S10" s="103"/>
      <c r="T10" s="102"/>
      <c r="X10" s="103"/>
    </row>
    <row r="11" spans="2:26" ht="38.25" customHeight="1" x14ac:dyDescent="0.3">
      <c r="B11" s="15"/>
      <c r="C11" s="62" t="s">
        <v>2</v>
      </c>
      <c r="D11" s="91" t="s">
        <v>3</v>
      </c>
      <c r="E11" s="104" t="s">
        <v>4</v>
      </c>
      <c r="F11" s="63" t="s">
        <v>5</v>
      </c>
      <c r="G11" s="63" t="s">
        <v>6</v>
      </c>
      <c r="H11" s="61" t="s">
        <v>7</v>
      </c>
      <c r="I11" s="112" t="s">
        <v>8</v>
      </c>
      <c r="J11" s="104" t="s">
        <v>4</v>
      </c>
      <c r="K11" s="64" t="s">
        <v>5</v>
      </c>
      <c r="L11" s="11" t="s">
        <v>9</v>
      </c>
      <c r="M11" s="61" t="s">
        <v>7</v>
      </c>
      <c r="N11" s="105" t="s">
        <v>8</v>
      </c>
      <c r="O11" s="104" t="s">
        <v>4</v>
      </c>
      <c r="P11" s="65" t="s">
        <v>15</v>
      </c>
      <c r="Q11" s="65" t="s">
        <v>16</v>
      </c>
      <c r="R11" s="61" t="s">
        <v>7</v>
      </c>
      <c r="S11" s="105" t="s">
        <v>8</v>
      </c>
      <c r="T11" s="104" t="s">
        <v>4</v>
      </c>
      <c r="U11" s="66" t="s">
        <v>5</v>
      </c>
      <c r="V11" s="66" t="s">
        <v>9</v>
      </c>
      <c r="W11" s="61" t="s">
        <v>7</v>
      </c>
      <c r="X11" s="105" t="s">
        <v>8</v>
      </c>
      <c r="Y11" s="117" t="s">
        <v>10</v>
      </c>
      <c r="Z11" s="62" t="s">
        <v>11</v>
      </c>
    </row>
    <row r="12" spans="2:26" x14ac:dyDescent="0.3">
      <c r="B12" s="3" t="s">
        <v>18</v>
      </c>
      <c r="C12" s="5">
        <v>33</v>
      </c>
      <c r="D12" s="88"/>
      <c r="E12" s="101">
        <v>283</v>
      </c>
      <c r="F12" s="5">
        <v>19</v>
      </c>
      <c r="G12" s="5">
        <v>8</v>
      </c>
      <c r="H12" s="4">
        <f>+E12+I12</f>
        <v>332</v>
      </c>
      <c r="I12" s="110">
        <v>49</v>
      </c>
      <c r="J12" s="101">
        <v>279</v>
      </c>
      <c r="K12" s="5">
        <v>17</v>
      </c>
      <c r="L12" s="5">
        <v>6</v>
      </c>
      <c r="M12" s="4">
        <f>+J12+N12</f>
        <v>329</v>
      </c>
      <c r="N12" s="95">
        <v>50</v>
      </c>
      <c r="O12" s="101">
        <v>281</v>
      </c>
      <c r="P12" s="5">
        <v>20</v>
      </c>
      <c r="Q12" s="5">
        <v>6</v>
      </c>
      <c r="R12" s="4">
        <f>+O12+S12</f>
        <v>332</v>
      </c>
      <c r="S12" s="95">
        <v>51</v>
      </c>
      <c r="T12" s="144">
        <v>281</v>
      </c>
      <c r="U12" s="5">
        <v>27</v>
      </c>
      <c r="V12" s="5">
        <v>12</v>
      </c>
      <c r="W12" s="4">
        <f>+T12+X12</f>
        <v>330</v>
      </c>
      <c r="X12" s="95">
        <v>49</v>
      </c>
      <c r="Y12" s="115">
        <f>+G12+L12+Q12+V12</f>
        <v>32</v>
      </c>
      <c r="Z12" s="13">
        <f>+Y12/(C12+D12)</f>
        <v>0.96969696969696972</v>
      </c>
    </row>
    <row r="13" spans="2:26" ht="12" customHeight="1" x14ac:dyDescent="0.3">
      <c r="E13" s="102"/>
      <c r="J13" s="102"/>
      <c r="N13" s="103"/>
      <c r="O13" s="102"/>
      <c r="S13" s="103"/>
      <c r="T13" s="102"/>
      <c r="X13" s="103"/>
    </row>
    <row r="14" spans="2:26" ht="34.5" customHeight="1" x14ac:dyDescent="0.3">
      <c r="B14" s="9" t="s">
        <v>19</v>
      </c>
      <c r="C14" s="59" t="s">
        <v>2</v>
      </c>
      <c r="D14" s="87" t="s">
        <v>3</v>
      </c>
      <c r="E14" s="92" t="s">
        <v>4</v>
      </c>
      <c r="F14" s="60" t="s">
        <v>5</v>
      </c>
      <c r="G14" s="60" t="s">
        <v>6</v>
      </c>
      <c r="H14" s="6" t="s">
        <v>7</v>
      </c>
      <c r="I14" s="109" t="s">
        <v>8</v>
      </c>
      <c r="J14" s="92" t="s">
        <v>4</v>
      </c>
      <c r="K14" s="11" t="s">
        <v>5</v>
      </c>
      <c r="L14" s="11" t="s">
        <v>9</v>
      </c>
      <c r="M14" s="6" t="s">
        <v>7</v>
      </c>
      <c r="N14" s="93" t="s">
        <v>8</v>
      </c>
      <c r="O14" s="92" t="s">
        <v>4</v>
      </c>
      <c r="P14" s="65" t="s">
        <v>15</v>
      </c>
      <c r="Q14" s="65" t="s">
        <v>16</v>
      </c>
      <c r="R14" s="6" t="s">
        <v>7</v>
      </c>
      <c r="S14" s="93" t="s">
        <v>8</v>
      </c>
      <c r="T14" s="92" t="s">
        <v>4</v>
      </c>
      <c r="U14" s="66" t="s">
        <v>5</v>
      </c>
      <c r="V14" s="66" t="s">
        <v>9</v>
      </c>
      <c r="W14" s="6" t="s">
        <v>7</v>
      </c>
      <c r="X14" s="93" t="s">
        <v>8</v>
      </c>
      <c r="Y14" s="114" t="s">
        <v>10</v>
      </c>
      <c r="Z14" s="59" t="s">
        <v>11</v>
      </c>
    </row>
    <row r="15" spans="2:26" x14ac:dyDescent="0.3">
      <c r="B15" s="7" t="s">
        <v>20</v>
      </c>
      <c r="C15" s="5">
        <v>4</v>
      </c>
      <c r="D15" s="88"/>
      <c r="E15" s="101">
        <v>78</v>
      </c>
      <c r="F15" s="5">
        <v>0</v>
      </c>
      <c r="G15" s="5">
        <v>0</v>
      </c>
      <c r="H15" s="4">
        <f>+E15+I15</f>
        <v>78</v>
      </c>
      <c r="I15" s="110"/>
      <c r="J15" s="101">
        <v>78</v>
      </c>
      <c r="K15" s="14">
        <v>0</v>
      </c>
      <c r="L15" s="14">
        <v>0</v>
      </c>
      <c r="M15" s="4">
        <f>+J15+N15</f>
        <v>78</v>
      </c>
      <c r="N15" s="95">
        <v>0</v>
      </c>
      <c r="O15" s="101">
        <v>78</v>
      </c>
      <c r="P15" s="5">
        <v>1</v>
      </c>
      <c r="Q15" s="5"/>
      <c r="R15" s="4">
        <f>+O15+S15</f>
        <v>78</v>
      </c>
      <c r="S15" s="95">
        <v>0</v>
      </c>
      <c r="T15" s="144">
        <v>76</v>
      </c>
      <c r="U15" s="5">
        <v>2</v>
      </c>
      <c r="V15" s="5">
        <v>2</v>
      </c>
      <c r="W15" s="4">
        <f>+T15+X15</f>
        <v>76</v>
      </c>
      <c r="X15" s="95">
        <v>0</v>
      </c>
      <c r="Y15" s="115">
        <f>+G15+L15+Q15+V15</f>
        <v>2</v>
      </c>
      <c r="Z15" s="13">
        <f>+Y15/(C15+D15)</f>
        <v>0.5</v>
      </c>
    </row>
    <row r="16" spans="2:26" x14ac:dyDescent="0.3">
      <c r="B16" s="7" t="s">
        <v>21</v>
      </c>
      <c r="C16" s="5">
        <v>1</v>
      </c>
      <c r="D16" s="88"/>
      <c r="E16" s="101">
        <v>35</v>
      </c>
      <c r="F16" s="5">
        <v>0</v>
      </c>
      <c r="G16" s="5">
        <v>0</v>
      </c>
      <c r="H16" s="4">
        <f>+E16+I16</f>
        <v>35</v>
      </c>
      <c r="I16" s="110"/>
      <c r="J16" s="101">
        <v>35</v>
      </c>
      <c r="K16" s="4">
        <v>0</v>
      </c>
      <c r="L16" s="14"/>
      <c r="M16" s="4">
        <f>+J16+N16</f>
        <v>35</v>
      </c>
      <c r="N16" s="95">
        <v>0</v>
      </c>
      <c r="O16" s="101">
        <v>33</v>
      </c>
      <c r="P16" s="5"/>
      <c r="Q16" s="5"/>
      <c r="R16" s="4">
        <f>+O16+S16</f>
        <v>33</v>
      </c>
      <c r="S16" s="95">
        <v>0</v>
      </c>
      <c r="T16" s="144">
        <v>33</v>
      </c>
      <c r="U16" s="4"/>
      <c r="V16" s="4"/>
      <c r="W16" s="4">
        <f>+T16+X16</f>
        <v>33</v>
      </c>
      <c r="X16" s="95">
        <v>0</v>
      </c>
      <c r="Y16" s="115">
        <f>+G16+L16+Q16+V16</f>
        <v>0</v>
      </c>
      <c r="Z16" s="13">
        <f>+Y16/(C16+D16)</f>
        <v>0</v>
      </c>
    </row>
    <row r="17" spans="2:26" ht="12" customHeight="1" thickBot="1" x14ac:dyDescent="0.35">
      <c r="B17" s="18" t="s">
        <v>22</v>
      </c>
      <c r="C17" s="19"/>
      <c r="D17" s="90"/>
      <c r="E17" s="106">
        <f>SUM(E15:E16)</f>
        <v>113</v>
      </c>
      <c r="F17" s="107">
        <f>+F15+F16</f>
        <v>0</v>
      </c>
      <c r="G17" s="107">
        <f t="shared" ref="G17:N17" si="0">SUM(G15:G16)</f>
        <v>0</v>
      </c>
      <c r="H17" s="107">
        <f t="shared" si="0"/>
        <v>113</v>
      </c>
      <c r="I17" s="113">
        <f t="shared" si="0"/>
        <v>0</v>
      </c>
      <c r="J17" s="106">
        <f t="shared" si="0"/>
        <v>113</v>
      </c>
      <c r="K17" s="37">
        <f t="shared" si="0"/>
        <v>0</v>
      </c>
      <c r="L17" s="37">
        <f t="shared" si="0"/>
        <v>0</v>
      </c>
      <c r="M17" s="107">
        <f t="shared" si="0"/>
        <v>113</v>
      </c>
      <c r="N17" s="108">
        <f t="shared" si="0"/>
        <v>0</v>
      </c>
      <c r="O17" s="106">
        <f>+O15+O16</f>
        <v>111</v>
      </c>
      <c r="P17" s="37">
        <f>SUM(P15:P16)</f>
        <v>1</v>
      </c>
      <c r="Q17" s="37">
        <f>SUM(Q15:Q16)</f>
        <v>0</v>
      </c>
      <c r="R17" s="107">
        <f>R15+R16</f>
        <v>111</v>
      </c>
      <c r="S17" s="108"/>
      <c r="T17" s="106">
        <f>+T15+T16</f>
        <v>109</v>
      </c>
      <c r="U17" s="37">
        <f>SUM(U15:U16)</f>
        <v>2</v>
      </c>
      <c r="V17" s="37">
        <v>0</v>
      </c>
      <c r="W17" s="107">
        <f>W15+W16</f>
        <v>109</v>
      </c>
      <c r="X17" s="108"/>
      <c r="Y17" s="116"/>
      <c r="Z17" s="21"/>
    </row>
    <row r="21" spans="2:26" x14ac:dyDescent="0.3">
      <c r="Y21">
        <f>+Y4+Y9+Y12+Y15</f>
        <v>69</v>
      </c>
    </row>
  </sheetData>
  <mergeCells count="6">
    <mergeCell ref="E2:I2"/>
    <mergeCell ref="J2:N2"/>
    <mergeCell ref="O2:S2"/>
    <mergeCell ref="T2:X2"/>
    <mergeCell ref="N4:N5"/>
    <mergeCell ref="J4:J5"/>
  </mergeCells>
  <pageMargins left="0.7" right="0.7" top="0.75" bottom="0.75" header="0.3" footer="0.3"/>
  <pageSetup paperSize="9" orientation="portrait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6F905-7BAD-41A5-9C81-01BCD2E932C9}">
  <sheetPr>
    <tabColor rgb="FFFF0000"/>
  </sheetPr>
  <dimension ref="B1:AE20"/>
  <sheetViews>
    <sheetView showGridLines="0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G11" sqref="B11:G11"/>
    </sheetView>
  </sheetViews>
  <sheetFormatPr baseColWidth="10" defaultColWidth="11.44140625" defaultRowHeight="14.4" x14ac:dyDescent="0.3"/>
  <cols>
    <col min="1" max="1" width="3.109375" customWidth="1"/>
    <col min="2" max="2" width="15.33203125" customWidth="1"/>
    <col min="3" max="3" width="10.6640625" style="2" customWidth="1"/>
    <col min="4" max="4" width="14" style="2" customWidth="1"/>
    <col min="5" max="5" width="8.6640625" style="1" customWidth="1"/>
    <col min="6" max="7" width="8.6640625" style="2" customWidth="1"/>
    <col min="8" max="10" width="8.6640625" style="1" customWidth="1"/>
    <col min="11" max="12" width="8.6640625" customWidth="1"/>
    <col min="13" max="15" width="8.6640625" style="1" customWidth="1"/>
    <col min="16" max="17" width="8.6640625" customWidth="1"/>
    <col min="18" max="20" width="8.6640625" style="1" customWidth="1"/>
    <col min="21" max="22" width="8.6640625" customWidth="1"/>
    <col min="23" max="25" width="8.6640625" style="1" customWidth="1"/>
    <col min="26" max="27" width="8.6640625" style="2" customWidth="1"/>
    <col min="28" max="29" width="8.6640625" style="1" customWidth="1"/>
    <col min="30" max="30" width="15" customWidth="1"/>
    <col min="31" max="31" width="13" style="1" customWidth="1"/>
  </cols>
  <sheetData>
    <row r="1" spans="2:31" ht="15" thickBot="1" x14ac:dyDescent="0.35"/>
    <row r="2" spans="2:31" ht="14.4" customHeight="1" x14ac:dyDescent="0.3">
      <c r="B2" s="8" t="s">
        <v>0</v>
      </c>
      <c r="C2" s="2" t="s">
        <v>1</v>
      </c>
      <c r="E2" s="184" t="s">
        <v>92</v>
      </c>
      <c r="F2" s="185"/>
      <c r="G2" s="185"/>
      <c r="H2" s="185"/>
      <c r="I2" s="185"/>
      <c r="J2" s="186" t="s">
        <v>93</v>
      </c>
      <c r="K2" s="187"/>
      <c r="L2" s="187"/>
      <c r="M2" s="187"/>
      <c r="N2" s="188"/>
      <c r="O2" s="194" t="s">
        <v>94</v>
      </c>
      <c r="P2" s="189"/>
      <c r="Q2" s="189"/>
      <c r="R2" s="189"/>
      <c r="S2" s="190"/>
      <c r="T2" s="191" t="s">
        <v>96</v>
      </c>
      <c r="U2" s="192"/>
      <c r="V2" s="192"/>
      <c r="W2" s="192"/>
      <c r="X2" s="193"/>
      <c r="Y2" s="184" t="s">
        <v>95</v>
      </c>
      <c r="Z2" s="185"/>
      <c r="AA2" s="185"/>
      <c r="AB2" s="185"/>
      <c r="AC2" s="185"/>
    </row>
    <row r="3" spans="2:31" ht="38.25" customHeight="1" x14ac:dyDescent="0.3">
      <c r="B3" s="3"/>
      <c r="C3" s="59" t="s">
        <v>2</v>
      </c>
      <c r="D3" s="87" t="s">
        <v>3</v>
      </c>
      <c r="E3" s="92" t="s">
        <v>4</v>
      </c>
      <c r="F3" s="60" t="s">
        <v>5</v>
      </c>
      <c r="G3" s="60" t="s">
        <v>6</v>
      </c>
      <c r="H3" s="6" t="s">
        <v>7</v>
      </c>
      <c r="I3" s="109" t="s">
        <v>8</v>
      </c>
      <c r="J3" s="92" t="s">
        <v>4</v>
      </c>
      <c r="K3" s="11" t="s">
        <v>5</v>
      </c>
      <c r="L3" s="11" t="s">
        <v>9</v>
      </c>
      <c r="M3" s="6" t="s">
        <v>7</v>
      </c>
      <c r="N3" s="93" t="s">
        <v>8</v>
      </c>
      <c r="O3" s="92" t="s">
        <v>4</v>
      </c>
      <c r="P3" s="65" t="s">
        <v>5</v>
      </c>
      <c r="Q3" s="65" t="s">
        <v>9</v>
      </c>
      <c r="R3" s="6" t="s">
        <v>7</v>
      </c>
      <c r="S3" s="93" t="s">
        <v>8</v>
      </c>
      <c r="T3" s="92" t="s">
        <v>4</v>
      </c>
      <c r="U3" s="66" t="s">
        <v>5</v>
      </c>
      <c r="V3" s="66" t="s">
        <v>9</v>
      </c>
      <c r="W3" s="6" t="s">
        <v>7</v>
      </c>
      <c r="X3" s="93" t="s">
        <v>8</v>
      </c>
      <c r="Y3" s="92" t="s">
        <v>4</v>
      </c>
      <c r="Z3" s="60" t="s">
        <v>5</v>
      </c>
      <c r="AA3" s="60" t="s">
        <v>6</v>
      </c>
      <c r="AB3" s="6" t="s">
        <v>7</v>
      </c>
      <c r="AC3" s="109" t="s">
        <v>8</v>
      </c>
      <c r="AD3" s="114" t="s">
        <v>10</v>
      </c>
      <c r="AE3" s="59" t="s">
        <v>11</v>
      </c>
    </row>
    <row r="4" spans="2:31" x14ac:dyDescent="0.3">
      <c r="B4" s="3" t="s">
        <v>12</v>
      </c>
      <c r="C4" s="5">
        <v>76</v>
      </c>
      <c r="D4" s="88"/>
      <c r="E4" s="94">
        <v>284</v>
      </c>
      <c r="F4" s="46">
        <v>28</v>
      </c>
      <c r="G4" s="5">
        <v>10</v>
      </c>
      <c r="H4" s="4">
        <f>+I4+E4</f>
        <v>308</v>
      </c>
      <c r="I4" s="110">
        <v>24</v>
      </c>
      <c r="J4" s="94">
        <v>270</v>
      </c>
      <c r="K4" s="46">
        <v>18</v>
      </c>
      <c r="L4" s="5">
        <v>9</v>
      </c>
      <c r="M4" s="4">
        <f>+N4+J4</f>
        <v>310</v>
      </c>
      <c r="N4" s="95">
        <v>40</v>
      </c>
      <c r="O4" s="94">
        <v>282</v>
      </c>
      <c r="P4" s="5">
        <v>20</v>
      </c>
      <c r="Q4" s="5">
        <v>13</v>
      </c>
      <c r="R4" s="4">
        <f>+S4+O4</f>
        <v>296</v>
      </c>
      <c r="S4" s="95">
        <v>14</v>
      </c>
      <c r="T4" s="94">
        <v>279</v>
      </c>
      <c r="U4" s="5">
        <v>18</v>
      </c>
      <c r="V4" s="132">
        <v>12</v>
      </c>
      <c r="W4" s="4">
        <f>+X4+T4</f>
        <v>305</v>
      </c>
      <c r="X4" s="95">
        <v>26</v>
      </c>
      <c r="Y4" s="94">
        <v>288</v>
      </c>
      <c r="Z4" s="46">
        <v>11</v>
      </c>
      <c r="AA4" s="5">
        <v>6</v>
      </c>
      <c r="AB4" s="4">
        <f>+AC4+Y4</f>
        <v>303</v>
      </c>
      <c r="AC4" s="110">
        <v>15</v>
      </c>
      <c r="AD4" s="115">
        <f>+G4+L4+Q4+V4+AA4</f>
        <v>50</v>
      </c>
      <c r="AE4" s="13">
        <f>+AD4/(C4+D4)</f>
        <v>0.65789473684210531</v>
      </c>
    </row>
    <row r="5" spans="2:31" x14ac:dyDescent="0.3">
      <c r="B5" s="15" t="s">
        <v>13</v>
      </c>
      <c r="C5" s="14">
        <v>9</v>
      </c>
      <c r="D5" s="89"/>
      <c r="E5" s="94">
        <v>28</v>
      </c>
      <c r="F5" s="14"/>
      <c r="G5" s="14"/>
      <c r="H5" s="17">
        <f>+E5+I5</f>
        <v>29</v>
      </c>
      <c r="I5" s="111">
        <v>1</v>
      </c>
      <c r="J5" s="94">
        <v>27</v>
      </c>
      <c r="K5" s="14"/>
      <c r="L5" s="14"/>
      <c r="M5" s="17">
        <f>+J5+N5</f>
        <v>28</v>
      </c>
      <c r="N5" s="96">
        <v>1</v>
      </c>
      <c r="O5" s="94">
        <v>24</v>
      </c>
      <c r="P5" s="14"/>
      <c r="Q5" s="14"/>
      <c r="R5" s="17">
        <f>+O5+S5</f>
        <v>25</v>
      </c>
      <c r="S5" s="96">
        <v>1</v>
      </c>
      <c r="T5" s="94">
        <v>24</v>
      </c>
      <c r="U5" s="4"/>
      <c r="V5" s="14"/>
      <c r="W5" s="17">
        <f>+T5+X5</f>
        <v>25</v>
      </c>
      <c r="X5" s="96">
        <v>1</v>
      </c>
      <c r="Y5" s="94">
        <v>28</v>
      </c>
      <c r="Z5" s="14"/>
      <c r="AA5" s="14"/>
      <c r="AB5" s="17">
        <f>+Y5+AC5</f>
        <v>29</v>
      </c>
      <c r="AC5" s="111">
        <v>1</v>
      </c>
      <c r="AD5" s="115">
        <f>+G5+L5+Q5+V5+AA5</f>
        <v>0</v>
      </c>
      <c r="AE5" s="13">
        <f>+AD5/(C5+D5)</f>
        <v>0</v>
      </c>
    </row>
    <row r="6" spans="2:31" ht="18.75" customHeight="1" x14ac:dyDescent="0.3">
      <c r="B6" s="18" t="s">
        <v>14</v>
      </c>
      <c r="C6" s="19"/>
      <c r="D6" s="90"/>
      <c r="E6" s="97">
        <f>E4+E5</f>
        <v>312</v>
      </c>
      <c r="F6" s="4">
        <f>+F4+F5</f>
        <v>28</v>
      </c>
      <c r="G6" s="4">
        <f>G4+G5</f>
        <v>10</v>
      </c>
      <c r="H6" s="5">
        <f>+H4+H5</f>
        <v>337</v>
      </c>
      <c r="I6" s="88">
        <f>+I4+I5</f>
        <v>25</v>
      </c>
      <c r="J6" s="97">
        <f>+J4+J5</f>
        <v>297</v>
      </c>
      <c r="K6" s="4">
        <f>SUM(K4:K5)</f>
        <v>18</v>
      </c>
      <c r="L6" s="4">
        <f>SUM(L4:L5)</f>
        <v>9</v>
      </c>
      <c r="M6" s="5">
        <f>+M4+M5</f>
        <v>338</v>
      </c>
      <c r="N6" s="98">
        <f>+N4+N5</f>
        <v>41</v>
      </c>
      <c r="O6" s="97">
        <f>+O4+O5</f>
        <v>306</v>
      </c>
      <c r="P6" s="4">
        <f>SUM(P4:P5)</f>
        <v>20</v>
      </c>
      <c r="Q6" s="4">
        <f>SUM(Q4:Q5)</f>
        <v>13</v>
      </c>
      <c r="R6" s="5">
        <f>+R4+R5</f>
        <v>321</v>
      </c>
      <c r="S6" s="98">
        <f>+S4+S5</f>
        <v>15</v>
      </c>
      <c r="T6" s="97">
        <f>+T4+T5</f>
        <v>303</v>
      </c>
      <c r="U6" s="4">
        <f>SUM(U4:U5)</f>
        <v>18</v>
      </c>
      <c r="V6" s="4">
        <f>+V4+V5</f>
        <v>12</v>
      </c>
      <c r="W6" s="5">
        <f>+W4+W5</f>
        <v>330</v>
      </c>
      <c r="X6" s="98">
        <f>+X4+X5</f>
        <v>27</v>
      </c>
      <c r="Y6" s="97">
        <f>Y4+Y5</f>
        <v>316</v>
      </c>
      <c r="Z6" s="4">
        <f>+Z4+Z5</f>
        <v>11</v>
      </c>
      <c r="AA6" s="4">
        <f>AA4+AA5</f>
        <v>6</v>
      </c>
      <c r="AB6" s="5">
        <f>+AB4+AB5</f>
        <v>332</v>
      </c>
      <c r="AC6" s="88">
        <f>+AC4+AC5</f>
        <v>16</v>
      </c>
      <c r="AD6" s="116"/>
      <c r="AE6" s="21"/>
    </row>
    <row r="7" spans="2:31" ht="12" customHeight="1" x14ac:dyDescent="0.3">
      <c r="E7" s="99"/>
      <c r="H7" s="2"/>
      <c r="I7" s="2"/>
      <c r="J7" s="99"/>
      <c r="M7" s="2"/>
      <c r="N7" s="100"/>
      <c r="O7" s="99"/>
      <c r="R7" s="2"/>
      <c r="S7" s="100"/>
      <c r="T7" s="99"/>
      <c r="W7" s="2"/>
      <c r="X7" s="100"/>
      <c r="Y7" s="99"/>
      <c r="AB7" s="2"/>
      <c r="AC7" s="2"/>
      <c r="AD7" s="12"/>
    </row>
    <row r="8" spans="2:31" ht="33.75" customHeight="1" x14ac:dyDescent="0.3">
      <c r="B8" s="3"/>
      <c r="C8" s="59" t="s">
        <v>2</v>
      </c>
      <c r="D8" s="87" t="s">
        <v>3</v>
      </c>
      <c r="E8" s="92" t="s">
        <v>4</v>
      </c>
      <c r="F8" s="60" t="s">
        <v>5</v>
      </c>
      <c r="G8" s="60" t="s">
        <v>6</v>
      </c>
      <c r="H8" s="6" t="s">
        <v>7</v>
      </c>
      <c r="I8" s="109" t="s">
        <v>8</v>
      </c>
      <c r="J8" s="92" t="s">
        <v>4</v>
      </c>
      <c r="K8" s="11" t="s">
        <v>5</v>
      </c>
      <c r="L8" s="11" t="s">
        <v>9</v>
      </c>
      <c r="M8" s="6" t="s">
        <v>7</v>
      </c>
      <c r="N8" s="93" t="s">
        <v>8</v>
      </c>
      <c r="O8" s="92" t="s">
        <v>4</v>
      </c>
      <c r="P8" s="65" t="s">
        <v>15</v>
      </c>
      <c r="Q8" s="65" t="s">
        <v>16</v>
      </c>
      <c r="R8" s="6" t="s">
        <v>7</v>
      </c>
      <c r="S8" s="93" t="s">
        <v>8</v>
      </c>
      <c r="T8" s="92" t="s">
        <v>4</v>
      </c>
      <c r="U8" s="66" t="s">
        <v>5</v>
      </c>
      <c r="V8" s="66" t="s">
        <v>9</v>
      </c>
      <c r="W8" s="6" t="s">
        <v>7</v>
      </c>
      <c r="X8" s="93" t="s">
        <v>8</v>
      </c>
      <c r="Y8" s="92" t="s">
        <v>4</v>
      </c>
      <c r="Z8" s="60" t="s">
        <v>5</v>
      </c>
      <c r="AA8" s="60" t="s">
        <v>6</v>
      </c>
      <c r="AB8" s="6" t="s">
        <v>7</v>
      </c>
      <c r="AC8" s="109" t="s">
        <v>8</v>
      </c>
      <c r="AD8" s="114" t="s">
        <v>10</v>
      </c>
      <c r="AE8" s="59" t="s">
        <v>11</v>
      </c>
    </row>
    <row r="9" spans="2:31" x14ac:dyDescent="0.3">
      <c r="B9" s="3" t="s">
        <v>17</v>
      </c>
      <c r="C9" s="5">
        <v>26</v>
      </c>
      <c r="D9" s="88"/>
      <c r="E9" s="101">
        <v>182</v>
      </c>
      <c r="F9" s="5">
        <v>11</v>
      </c>
      <c r="G9" s="5">
        <v>3</v>
      </c>
      <c r="H9" s="4">
        <f>+E9+I9</f>
        <v>210</v>
      </c>
      <c r="I9" s="110">
        <v>28</v>
      </c>
      <c r="J9" s="101">
        <v>184</v>
      </c>
      <c r="K9" s="5">
        <v>6</v>
      </c>
      <c r="L9" s="5">
        <v>2</v>
      </c>
      <c r="M9" s="4">
        <f>N9+J9</f>
        <v>204</v>
      </c>
      <c r="N9" s="95">
        <v>20</v>
      </c>
      <c r="O9" s="101">
        <v>184</v>
      </c>
      <c r="P9" s="5">
        <v>8</v>
      </c>
      <c r="Q9" s="5">
        <v>0</v>
      </c>
      <c r="R9" s="4">
        <f>+O9+S9</f>
        <v>210</v>
      </c>
      <c r="S9" s="95">
        <v>26</v>
      </c>
      <c r="T9" s="101">
        <v>191</v>
      </c>
      <c r="U9" s="5">
        <v>5</v>
      </c>
      <c r="V9" s="5">
        <v>8</v>
      </c>
      <c r="W9" s="4">
        <f>+T9+X9</f>
        <v>211</v>
      </c>
      <c r="X9" s="95">
        <v>20</v>
      </c>
      <c r="Y9" s="101">
        <v>191</v>
      </c>
      <c r="Z9" s="5">
        <v>9</v>
      </c>
      <c r="AA9" s="5">
        <v>5</v>
      </c>
      <c r="AB9" s="4">
        <f>+Y9+AC9</f>
        <v>210</v>
      </c>
      <c r="AC9" s="110">
        <v>19</v>
      </c>
      <c r="AD9" s="115">
        <f>+G9+L9+Q9+V9+AA9</f>
        <v>18</v>
      </c>
      <c r="AE9" s="13">
        <f>+AD9/(C9+D9)</f>
        <v>0.69230769230769229</v>
      </c>
    </row>
    <row r="10" spans="2:31" x14ac:dyDescent="0.3">
      <c r="E10" s="102"/>
      <c r="J10" s="102"/>
      <c r="N10" s="103"/>
      <c r="O10" s="102"/>
      <c r="S10" s="103"/>
      <c r="T10" s="102"/>
      <c r="X10" s="103"/>
      <c r="Y10" s="102"/>
    </row>
    <row r="11" spans="2:31" ht="38.25" customHeight="1" x14ac:dyDescent="0.3">
      <c r="B11" s="15"/>
      <c r="C11" s="62" t="s">
        <v>2</v>
      </c>
      <c r="D11" s="91" t="s">
        <v>3</v>
      </c>
      <c r="E11" s="104" t="s">
        <v>4</v>
      </c>
      <c r="F11" s="63" t="s">
        <v>5</v>
      </c>
      <c r="G11" s="63" t="s">
        <v>6</v>
      </c>
      <c r="H11" s="61" t="s">
        <v>7</v>
      </c>
      <c r="I11" s="112" t="s">
        <v>8</v>
      </c>
      <c r="J11" s="104" t="s">
        <v>4</v>
      </c>
      <c r="K11" s="64" t="s">
        <v>5</v>
      </c>
      <c r="L11" s="11" t="s">
        <v>9</v>
      </c>
      <c r="M11" s="61" t="s">
        <v>7</v>
      </c>
      <c r="N11" s="105" t="s">
        <v>8</v>
      </c>
      <c r="O11" s="104" t="s">
        <v>4</v>
      </c>
      <c r="P11" s="65" t="s">
        <v>15</v>
      </c>
      <c r="Q11" s="65" t="s">
        <v>16</v>
      </c>
      <c r="R11" s="61" t="s">
        <v>7</v>
      </c>
      <c r="S11" s="105" t="s">
        <v>8</v>
      </c>
      <c r="T11" s="104" t="s">
        <v>4</v>
      </c>
      <c r="U11" s="66" t="s">
        <v>5</v>
      </c>
      <c r="V11" s="66" t="s">
        <v>9</v>
      </c>
      <c r="W11" s="61" t="s">
        <v>7</v>
      </c>
      <c r="X11" s="105" t="s">
        <v>8</v>
      </c>
      <c r="Y11" s="104" t="s">
        <v>4</v>
      </c>
      <c r="Z11" s="63" t="s">
        <v>5</v>
      </c>
      <c r="AA11" s="63" t="s">
        <v>6</v>
      </c>
      <c r="AB11" s="61" t="s">
        <v>7</v>
      </c>
      <c r="AC11" s="112" t="s">
        <v>8</v>
      </c>
      <c r="AD11" s="117" t="s">
        <v>10</v>
      </c>
      <c r="AE11" s="62" t="s">
        <v>11</v>
      </c>
    </row>
    <row r="12" spans="2:31" x14ac:dyDescent="0.3">
      <c r="B12" s="3" t="s">
        <v>18</v>
      </c>
      <c r="C12" s="5">
        <v>40</v>
      </c>
      <c r="D12" s="88"/>
      <c r="E12" s="101">
        <v>273</v>
      </c>
      <c r="F12" s="5">
        <v>26</v>
      </c>
      <c r="G12" s="5">
        <v>4</v>
      </c>
      <c r="H12" s="4">
        <f>+E12+I12</f>
        <v>318</v>
      </c>
      <c r="I12" s="110">
        <v>45</v>
      </c>
      <c r="J12" s="101">
        <v>283</v>
      </c>
      <c r="K12" s="5">
        <v>21</v>
      </c>
      <c r="L12" s="5">
        <v>4</v>
      </c>
      <c r="M12" s="4">
        <f>+J12+N12</f>
        <v>330</v>
      </c>
      <c r="N12" s="95">
        <v>47</v>
      </c>
      <c r="O12" s="101">
        <v>286</v>
      </c>
      <c r="P12" s="5">
        <v>15</v>
      </c>
      <c r="Q12" s="5">
        <v>5</v>
      </c>
      <c r="R12" s="4">
        <f>+O12+S12</f>
        <v>330</v>
      </c>
      <c r="S12" s="95">
        <v>44</v>
      </c>
      <c r="T12" s="101">
        <v>292</v>
      </c>
      <c r="U12" s="5">
        <v>14</v>
      </c>
      <c r="V12" s="5">
        <v>4</v>
      </c>
      <c r="W12" s="4">
        <f>+T12+X12</f>
        <v>335</v>
      </c>
      <c r="X12" s="95">
        <v>43</v>
      </c>
      <c r="Y12" s="101">
        <v>277</v>
      </c>
      <c r="Z12" s="5">
        <v>21</v>
      </c>
      <c r="AA12" s="5">
        <v>10</v>
      </c>
      <c r="AB12" s="4">
        <f>+Y12+AC12</f>
        <v>330</v>
      </c>
      <c r="AC12" s="110">
        <v>53</v>
      </c>
      <c r="AD12" s="115">
        <f>+G12+L12+Q12+V12+AA12</f>
        <v>27</v>
      </c>
      <c r="AE12" s="13">
        <f>+AD12/(C12+D12)</f>
        <v>0.67500000000000004</v>
      </c>
    </row>
    <row r="13" spans="2:31" ht="12" customHeight="1" x14ac:dyDescent="0.3">
      <c r="E13" s="102"/>
      <c r="J13" s="102"/>
      <c r="N13" s="103"/>
      <c r="O13" s="102"/>
      <c r="S13" s="103"/>
      <c r="T13" s="102"/>
      <c r="X13" s="103"/>
      <c r="Y13" s="102"/>
    </row>
    <row r="14" spans="2:31" ht="34.5" customHeight="1" x14ac:dyDescent="0.3">
      <c r="B14" s="9" t="s">
        <v>19</v>
      </c>
      <c r="C14" s="59" t="s">
        <v>2</v>
      </c>
      <c r="D14" s="87" t="s">
        <v>3</v>
      </c>
      <c r="E14" s="92" t="s">
        <v>4</v>
      </c>
      <c r="F14" s="60" t="s">
        <v>5</v>
      </c>
      <c r="G14" s="60" t="s">
        <v>6</v>
      </c>
      <c r="H14" s="6" t="s">
        <v>7</v>
      </c>
      <c r="I14" s="109" t="s">
        <v>8</v>
      </c>
      <c r="J14" s="92" t="s">
        <v>4</v>
      </c>
      <c r="K14" s="11" t="s">
        <v>5</v>
      </c>
      <c r="L14" s="11" t="s">
        <v>9</v>
      </c>
      <c r="M14" s="6" t="s">
        <v>7</v>
      </c>
      <c r="N14" s="93" t="s">
        <v>8</v>
      </c>
      <c r="O14" s="92" t="s">
        <v>4</v>
      </c>
      <c r="P14" s="65" t="s">
        <v>15</v>
      </c>
      <c r="Q14" s="65" t="s">
        <v>16</v>
      </c>
      <c r="R14" s="6" t="s">
        <v>7</v>
      </c>
      <c r="S14" s="93" t="s">
        <v>8</v>
      </c>
      <c r="T14" s="92" t="s">
        <v>4</v>
      </c>
      <c r="U14" s="66" t="s">
        <v>5</v>
      </c>
      <c r="V14" s="66" t="s">
        <v>9</v>
      </c>
      <c r="W14" s="6" t="s">
        <v>7</v>
      </c>
      <c r="X14" s="93" t="s">
        <v>8</v>
      </c>
      <c r="Y14" s="92" t="s">
        <v>4</v>
      </c>
      <c r="Z14" s="60" t="s">
        <v>5</v>
      </c>
      <c r="AA14" s="60" t="s">
        <v>6</v>
      </c>
      <c r="AB14" s="6" t="s">
        <v>7</v>
      </c>
      <c r="AC14" s="109" t="s">
        <v>8</v>
      </c>
      <c r="AD14" s="114" t="s">
        <v>10</v>
      </c>
      <c r="AE14" s="59" t="s">
        <v>11</v>
      </c>
    </row>
    <row r="15" spans="2:31" x14ac:dyDescent="0.3">
      <c r="B15" s="7" t="s">
        <v>20</v>
      </c>
      <c r="C15" s="5">
        <v>4</v>
      </c>
      <c r="D15" s="88"/>
      <c r="E15" s="101">
        <v>76</v>
      </c>
      <c r="F15" s="5">
        <v>1</v>
      </c>
      <c r="G15" s="5"/>
      <c r="H15" s="4">
        <f>+E15+I15</f>
        <v>76</v>
      </c>
      <c r="I15" s="110">
        <v>0</v>
      </c>
      <c r="J15" s="101">
        <v>76</v>
      </c>
      <c r="K15" s="14">
        <v>1</v>
      </c>
      <c r="L15" s="14">
        <v>1</v>
      </c>
      <c r="M15" s="4">
        <f>+J15+N15</f>
        <v>76</v>
      </c>
      <c r="N15" s="95">
        <v>0</v>
      </c>
      <c r="O15" s="101">
        <v>77</v>
      </c>
      <c r="P15" s="5">
        <v>1</v>
      </c>
      <c r="Q15" s="5">
        <v>1</v>
      </c>
      <c r="R15" s="4">
        <f>+O15+S15</f>
        <v>77</v>
      </c>
      <c r="S15" s="95"/>
      <c r="T15" s="101">
        <v>77</v>
      </c>
      <c r="U15" s="5">
        <v>2</v>
      </c>
      <c r="V15" s="5"/>
      <c r="W15" s="4">
        <f>+T15+X15</f>
        <v>77</v>
      </c>
      <c r="X15" s="95">
        <v>0</v>
      </c>
      <c r="Y15" s="101">
        <v>77</v>
      </c>
      <c r="Z15" s="5">
        <v>1</v>
      </c>
      <c r="AA15" s="5">
        <v>1</v>
      </c>
      <c r="AB15" s="4">
        <f>+Y15+AC15</f>
        <v>77</v>
      </c>
      <c r="AC15" s="110">
        <v>0</v>
      </c>
      <c r="AD15" s="115">
        <f>+G15+L15+Q15+V15+AA15</f>
        <v>3</v>
      </c>
      <c r="AE15" s="13">
        <f>+AD15/(C15+D15)</f>
        <v>0.75</v>
      </c>
    </row>
    <row r="16" spans="2:31" x14ac:dyDescent="0.3">
      <c r="B16" s="7" t="s">
        <v>21</v>
      </c>
      <c r="C16" s="5">
        <v>1</v>
      </c>
      <c r="D16" s="88"/>
      <c r="E16" s="101">
        <v>34</v>
      </c>
      <c r="F16" s="5">
        <v>0</v>
      </c>
      <c r="G16" s="5">
        <v>1</v>
      </c>
      <c r="H16" s="4">
        <f>+E16+I16</f>
        <v>34</v>
      </c>
      <c r="I16" s="110">
        <v>0</v>
      </c>
      <c r="J16" s="101">
        <v>35</v>
      </c>
      <c r="K16" s="4"/>
      <c r="L16" s="14"/>
      <c r="M16" s="4">
        <f>+J16+N16</f>
        <v>35</v>
      </c>
      <c r="N16" s="95">
        <v>0</v>
      </c>
      <c r="O16" s="101">
        <v>35</v>
      </c>
      <c r="P16" s="5"/>
      <c r="Q16" s="5"/>
      <c r="R16" s="4">
        <f>+O16+S16</f>
        <v>35</v>
      </c>
      <c r="S16" s="95"/>
      <c r="T16" s="101">
        <v>35</v>
      </c>
      <c r="U16" s="4">
        <v>1</v>
      </c>
      <c r="V16" s="4"/>
      <c r="W16" s="4">
        <f>+T16+X16</f>
        <v>35</v>
      </c>
      <c r="X16" s="95">
        <v>0</v>
      </c>
      <c r="Y16" s="101">
        <v>37</v>
      </c>
      <c r="Z16" s="5"/>
      <c r="AA16" s="5"/>
      <c r="AB16" s="4">
        <f>+Y16+AC16</f>
        <v>37</v>
      </c>
      <c r="AC16" s="110">
        <v>0</v>
      </c>
      <c r="AD16" s="115">
        <f>+G16+L16+Q16+V16+AA16</f>
        <v>1</v>
      </c>
      <c r="AE16" s="13">
        <f>+AD16/(C16+D16)</f>
        <v>1</v>
      </c>
    </row>
    <row r="17" spans="2:31" ht="12" customHeight="1" thickBot="1" x14ac:dyDescent="0.35">
      <c r="B17" s="18" t="s">
        <v>22</v>
      </c>
      <c r="C17" s="19"/>
      <c r="D17" s="90"/>
      <c r="E17" s="106">
        <f>SUM(E15:E16)</f>
        <v>110</v>
      </c>
      <c r="F17" s="107">
        <f>+F15+F16</f>
        <v>1</v>
      </c>
      <c r="G17" s="107">
        <f t="shared" ref="G17:N17" si="0">SUM(G15:G16)</f>
        <v>1</v>
      </c>
      <c r="H17" s="107">
        <f t="shared" si="0"/>
        <v>110</v>
      </c>
      <c r="I17" s="113">
        <f t="shared" si="0"/>
        <v>0</v>
      </c>
      <c r="J17" s="106">
        <f t="shared" si="0"/>
        <v>111</v>
      </c>
      <c r="K17" s="37">
        <f t="shared" si="0"/>
        <v>1</v>
      </c>
      <c r="L17" s="37">
        <f t="shared" si="0"/>
        <v>1</v>
      </c>
      <c r="M17" s="107">
        <f t="shared" si="0"/>
        <v>111</v>
      </c>
      <c r="N17" s="108">
        <f t="shared" si="0"/>
        <v>0</v>
      </c>
      <c r="O17" s="106"/>
      <c r="P17" s="37">
        <f>SUM(P15:P16)</f>
        <v>1</v>
      </c>
      <c r="Q17" s="37">
        <f>SUM(Q15:Q16)</f>
        <v>1</v>
      </c>
      <c r="R17" s="107">
        <f>R15+R16</f>
        <v>112</v>
      </c>
      <c r="S17" s="108"/>
      <c r="T17" s="106"/>
      <c r="U17" s="37">
        <f>SUM(U15:U16)</f>
        <v>3</v>
      </c>
      <c r="V17" s="37">
        <v>0</v>
      </c>
      <c r="W17" s="107">
        <f>W15+W16</f>
        <v>112</v>
      </c>
      <c r="X17" s="108"/>
      <c r="Y17" s="106">
        <f>SUM(Y15:Y16)</f>
        <v>114</v>
      </c>
      <c r="Z17" s="107">
        <f>+Z15+Z16</f>
        <v>1</v>
      </c>
      <c r="AA17" s="107">
        <f t="shared" ref="AA17:AC17" si="1">SUM(AA15:AA16)</f>
        <v>1</v>
      </c>
      <c r="AB17" s="107">
        <f t="shared" si="1"/>
        <v>114</v>
      </c>
      <c r="AC17" s="113">
        <f t="shared" si="1"/>
        <v>0</v>
      </c>
      <c r="AD17" s="116"/>
      <c r="AE17" s="21"/>
    </row>
    <row r="20" spans="2:31" x14ac:dyDescent="0.3">
      <c r="AD20">
        <f>+AD4+AD9+AD12+AD15</f>
        <v>98</v>
      </c>
    </row>
  </sheetData>
  <mergeCells count="5">
    <mergeCell ref="E2:I2"/>
    <mergeCell ref="J2:N2"/>
    <mergeCell ref="O2:S2"/>
    <mergeCell ref="T2:X2"/>
    <mergeCell ref="Y2:AC2"/>
  </mergeCells>
  <pageMargins left="0.7" right="0.7" top="0.75" bottom="0.75" header="0.3" footer="0.3"/>
  <pageSetup paperSize="9" orientation="portrait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D992-65EE-438E-B4B5-07906FF6D1C0}">
  <sheetPr>
    <tabColor rgb="FF00B0F0"/>
  </sheetPr>
  <dimension ref="B2:Z22"/>
  <sheetViews>
    <sheetView showGridLines="0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F14" sqref="B14:F14"/>
    </sheetView>
  </sheetViews>
  <sheetFormatPr baseColWidth="10" defaultColWidth="11.44140625" defaultRowHeight="14.4" x14ac:dyDescent="0.3"/>
  <cols>
    <col min="1" max="1" width="3.109375" customWidth="1"/>
    <col min="2" max="2" width="15.5546875" customWidth="1"/>
    <col min="3" max="3" width="12.33203125" style="2" customWidth="1"/>
    <col min="4" max="4" width="13.5546875" style="2" customWidth="1"/>
    <col min="5" max="5" width="8.6640625" style="1" customWidth="1"/>
    <col min="6" max="7" width="8.6640625" style="2" customWidth="1"/>
    <col min="8" max="10" width="8.6640625" style="1" customWidth="1"/>
    <col min="11" max="12" width="8.6640625" customWidth="1"/>
    <col min="13" max="15" width="8.6640625" style="1" customWidth="1"/>
    <col min="16" max="17" width="8.6640625" customWidth="1"/>
    <col min="18" max="20" width="8.6640625" style="1" customWidth="1"/>
    <col min="21" max="22" width="8.6640625" customWidth="1"/>
    <col min="23" max="24" width="8.6640625" style="1" customWidth="1"/>
    <col min="25" max="25" width="15" customWidth="1"/>
    <col min="26" max="26" width="13" style="1" customWidth="1"/>
  </cols>
  <sheetData>
    <row r="2" spans="2:26" ht="14.4" customHeight="1" x14ac:dyDescent="0.3">
      <c r="B2" s="8" t="s">
        <v>0</v>
      </c>
      <c r="C2" s="2" t="s">
        <v>1</v>
      </c>
      <c r="E2" s="184" t="s">
        <v>132</v>
      </c>
      <c r="F2" s="185"/>
      <c r="G2" s="185"/>
      <c r="H2" s="185"/>
      <c r="I2" s="185"/>
      <c r="J2" s="186" t="s">
        <v>89</v>
      </c>
      <c r="K2" s="187"/>
      <c r="L2" s="187"/>
      <c r="M2" s="187"/>
      <c r="N2" s="188"/>
      <c r="O2" s="194" t="s">
        <v>90</v>
      </c>
      <c r="P2" s="189"/>
      <c r="Q2" s="189"/>
      <c r="R2" s="189"/>
      <c r="S2" s="190"/>
      <c r="T2" s="191" t="s">
        <v>91</v>
      </c>
      <c r="U2" s="192"/>
      <c r="V2" s="192"/>
      <c r="W2" s="192"/>
      <c r="X2" s="193"/>
    </row>
    <row r="3" spans="2:26" ht="38.25" customHeight="1" x14ac:dyDescent="0.3">
      <c r="B3" s="3"/>
      <c r="C3" s="59" t="s">
        <v>2</v>
      </c>
      <c r="D3" s="87" t="s">
        <v>3</v>
      </c>
      <c r="E3" s="92" t="s">
        <v>4</v>
      </c>
      <c r="F3" s="60" t="s">
        <v>5</v>
      </c>
      <c r="G3" s="60" t="s">
        <v>6</v>
      </c>
      <c r="H3" s="6" t="s">
        <v>7</v>
      </c>
      <c r="I3" s="109" t="s">
        <v>8</v>
      </c>
      <c r="J3" s="92" t="s">
        <v>4</v>
      </c>
      <c r="K3" s="11" t="s">
        <v>5</v>
      </c>
      <c r="L3" s="11" t="s">
        <v>9</v>
      </c>
      <c r="M3" s="6" t="s">
        <v>7</v>
      </c>
      <c r="N3" s="93" t="s">
        <v>8</v>
      </c>
      <c r="O3" s="92" t="s">
        <v>4</v>
      </c>
      <c r="P3" s="65" t="s">
        <v>5</v>
      </c>
      <c r="Q3" s="65" t="s">
        <v>9</v>
      </c>
      <c r="R3" s="6" t="s">
        <v>7</v>
      </c>
      <c r="S3" s="93" t="s">
        <v>8</v>
      </c>
      <c r="T3" s="92" t="s">
        <v>4</v>
      </c>
      <c r="U3" s="66" t="s">
        <v>5</v>
      </c>
      <c r="V3" s="66" t="s">
        <v>9</v>
      </c>
      <c r="W3" s="6" t="s">
        <v>7</v>
      </c>
      <c r="X3" s="93" t="s">
        <v>8</v>
      </c>
      <c r="Y3" s="114" t="s">
        <v>10</v>
      </c>
      <c r="Z3" s="59" t="s">
        <v>11</v>
      </c>
    </row>
    <row r="4" spans="2:26" x14ac:dyDescent="0.3">
      <c r="B4" s="3" t="s">
        <v>12</v>
      </c>
      <c r="C4" s="5">
        <v>30</v>
      </c>
      <c r="D4" s="88"/>
      <c r="E4" s="94">
        <v>243</v>
      </c>
      <c r="F4" s="46">
        <v>21</v>
      </c>
      <c r="G4" s="5">
        <v>7</v>
      </c>
      <c r="H4" s="4">
        <f>+I4+E4</f>
        <v>290</v>
      </c>
      <c r="I4" s="110">
        <v>47</v>
      </c>
      <c r="J4" s="94">
        <v>257</v>
      </c>
      <c r="K4" s="46">
        <v>28</v>
      </c>
      <c r="L4" s="5">
        <v>7</v>
      </c>
      <c r="M4" s="4">
        <f>+N4+J4</f>
        <v>290</v>
      </c>
      <c r="N4" s="95">
        <v>33</v>
      </c>
      <c r="O4" s="94">
        <v>254</v>
      </c>
      <c r="P4" s="5">
        <v>25</v>
      </c>
      <c r="Q4" s="5">
        <v>13</v>
      </c>
      <c r="R4" s="4">
        <f>+S4+O4</f>
        <v>289</v>
      </c>
      <c r="S4" s="95">
        <v>35</v>
      </c>
      <c r="T4" s="94">
        <v>275</v>
      </c>
      <c r="U4" s="5">
        <v>35</v>
      </c>
      <c r="V4" s="132">
        <v>15</v>
      </c>
      <c r="W4" s="4">
        <f>+X4+T4</f>
        <v>298</v>
      </c>
      <c r="X4" s="95">
        <v>23</v>
      </c>
      <c r="Y4" s="115">
        <f>+G4+L4+Q4+V4</f>
        <v>42</v>
      </c>
      <c r="Z4" s="13">
        <f>+Y4/(C4+D4)</f>
        <v>1.4</v>
      </c>
    </row>
    <row r="5" spans="2:26" x14ac:dyDescent="0.3">
      <c r="B5" s="15" t="s">
        <v>13</v>
      </c>
      <c r="C5" s="14"/>
      <c r="D5" s="89"/>
      <c r="E5" s="94">
        <v>30</v>
      </c>
      <c r="F5" s="14"/>
      <c r="G5" s="14"/>
      <c r="H5" s="17">
        <f>+E5+I5</f>
        <v>33</v>
      </c>
      <c r="I5" s="111">
        <v>3</v>
      </c>
      <c r="J5" s="94">
        <v>29</v>
      </c>
      <c r="K5" s="14"/>
      <c r="L5" s="14"/>
      <c r="M5" s="17">
        <f>+J5+N5</f>
        <v>31</v>
      </c>
      <c r="N5" s="96">
        <v>2</v>
      </c>
      <c r="O5" s="94">
        <v>28</v>
      </c>
      <c r="P5" s="14"/>
      <c r="Q5" s="14"/>
      <c r="R5" s="17">
        <f>+O5+S5</f>
        <v>30</v>
      </c>
      <c r="S5" s="96">
        <v>2</v>
      </c>
      <c r="T5" s="94">
        <v>27</v>
      </c>
      <c r="U5" s="4"/>
      <c r="V5" s="14"/>
      <c r="W5" s="17">
        <f>+T5+X5</f>
        <v>29</v>
      </c>
      <c r="X5" s="96">
        <v>2</v>
      </c>
      <c r="Y5" s="115">
        <f>+G5+L5+Q5+V5</f>
        <v>0</v>
      </c>
      <c r="Z5" s="13" t="e">
        <f>+Y5/(C5+D5)</f>
        <v>#DIV/0!</v>
      </c>
    </row>
    <row r="6" spans="2:26" ht="18.75" customHeight="1" x14ac:dyDescent="0.3">
      <c r="B6" s="18" t="s">
        <v>14</v>
      </c>
      <c r="C6" s="19"/>
      <c r="D6" s="90"/>
      <c r="E6" s="97">
        <f>E4+E5</f>
        <v>273</v>
      </c>
      <c r="F6" s="4">
        <f>+F4+F5</f>
        <v>21</v>
      </c>
      <c r="G6" s="4">
        <f>G4+G5</f>
        <v>7</v>
      </c>
      <c r="H6" s="5">
        <f>+H4+H5</f>
        <v>323</v>
      </c>
      <c r="I6" s="88">
        <f>+I4+I5</f>
        <v>50</v>
      </c>
      <c r="J6" s="97">
        <f>+J4+J5</f>
        <v>286</v>
      </c>
      <c r="K6" s="4">
        <f>SUM(K4:K5)</f>
        <v>28</v>
      </c>
      <c r="L6" s="4">
        <f>SUM(L4:L5)</f>
        <v>7</v>
      </c>
      <c r="M6" s="5">
        <f>+M4+M5</f>
        <v>321</v>
      </c>
      <c r="N6" s="98">
        <f>+N4+N5</f>
        <v>35</v>
      </c>
      <c r="O6" s="97">
        <f>+O4+O5</f>
        <v>282</v>
      </c>
      <c r="P6" s="4">
        <f>SUM(P4:P5)</f>
        <v>25</v>
      </c>
      <c r="Q6" s="4">
        <f>SUM(Q4:Q5)</f>
        <v>13</v>
      </c>
      <c r="R6" s="5">
        <f>+R4+R5</f>
        <v>319</v>
      </c>
      <c r="S6" s="98">
        <f>+S4+S5</f>
        <v>37</v>
      </c>
      <c r="T6" s="97">
        <f>+T4+T5</f>
        <v>302</v>
      </c>
      <c r="U6" s="4">
        <f>SUM(U4:U5)</f>
        <v>35</v>
      </c>
      <c r="V6" s="4">
        <f>+V4+V5</f>
        <v>15</v>
      </c>
      <c r="W6" s="5">
        <f>+W4+W5</f>
        <v>327</v>
      </c>
      <c r="X6" s="98">
        <f>+X4+X5</f>
        <v>25</v>
      </c>
      <c r="Y6" s="116"/>
      <c r="Z6" s="21"/>
    </row>
    <row r="7" spans="2:26" ht="12" customHeight="1" x14ac:dyDescent="0.3">
      <c r="E7" s="99"/>
      <c r="H7" s="2"/>
      <c r="I7" s="2"/>
      <c r="J7" s="99"/>
      <c r="M7" s="2"/>
      <c r="N7" s="100"/>
      <c r="O7" s="99"/>
      <c r="R7" s="2"/>
      <c r="S7" s="100"/>
      <c r="T7" s="99"/>
      <c r="W7" s="2"/>
      <c r="X7" s="100"/>
      <c r="Y7" s="12"/>
    </row>
    <row r="8" spans="2:26" ht="33.75" customHeight="1" x14ac:dyDescent="0.3">
      <c r="B8" s="3"/>
      <c r="C8" s="59" t="s">
        <v>2</v>
      </c>
      <c r="D8" s="87" t="s">
        <v>3</v>
      </c>
      <c r="E8" s="92" t="s">
        <v>4</v>
      </c>
      <c r="F8" s="60" t="s">
        <v>5</v>
      </c>
      <c r="G8" s="60" t="s">
        <v>6</v>
      </c>
      <c r="H8" s="6" t="s">
        <v>7</v>
      </c>
      <c r="I8" s="109" t="s">
        <v>8</v>
      </c>
      <c r="J8" s="92" t="s">
        <v>4</v>
      </c>
      <c r="K8" s="11" t="s">
        <v>5</v>
      </c>
      <c r="L8" s="11" t="s">
        <v>9</v>
      </c>
      <c r="M8" s="6" t="s">
        <v>7</v>
      </c>
      <c r="N8" s="93" t="s">
        <v>8</v>
      </c>
      <c r="O8" s="92" t="s">
        <v>4</v>
      </c>
      <c r="P8" s="65" t="s">
        <v>15</v>
      </c>
      <c r="Q8" s="65" t="s">
        <v>16</v>
      </c>
      <c r="R8" s="6" t="s">
        <v>7</v>
      </c>
      <c r="S8" s="93" t="s">
        <v>8</v>
      </c>
      <c r="T8" s="92" t="s">
        <v>4</v>
      </c>
      <c r="U8" s="66" t="s">
        <v>5</v>
      </c>
      <c r="V8" s="66" t="s">
        <v>9</v>
      </c>
      <c r="W8" s="6" t="s">
        <v>7</v>
      </c>
      <c r="X8" s="93" t="s">
        <v>8</v>
      </c>
      <c r="Y8" s="114" t="s">
        <v>10</v>
      </c>
      <c r="Z8" s="59" t="s">
        <v>11</v>
      </c>
    </row>
    <row r="9" spans="2:26" x14ac:dyDescent="0.3">
      <c r="B9" s="3" t="s">
        <v>17</v>
      </c>
      <c r="C9" s="5">
        <v>12</v>
      </c>
      <c r="D9" s="88"/>
      <c r="E9" s="101">
        <v>158</v>
      </c>
      <c r="F9" s="5">
        <v>24</v>
      </c>
      <c r="G9" s="5">
        <v>9</v>
      </c>
      <c r="H9" s="4">
        <f>+E9+I9</f>
        <v>182</v>
      </c>
      <c r="I9" s="110">
        <v>24</v>
      </c>
      <c r="J9" s="101">
        <v>177</v>
      </c>
      <c r="K9" s="5">
        <v>21</v>
      </c>
      <c r="L9" s="5">
        <v>7</v>
      </c>
      <c r="M9" s="4">
        <f>N9+J9</f>
        <v>195</v>
      </c>
      <c r="N9" s="95">
        <v>18</v>
      </c>
      <c r="O9" s="101">
        <v>182</v>
      </c>
      <c r="P9" s="5">
        <v>14</v>
      </c>
      <c r="Q9" s="5">
        <v>6</v>
      </c>
      <c r="R9" s="4">
        <f>+O9+S9</f>
        <v>199</v>
      </c>
      <c r="S9" s="95">
        <v>17</v>
      </c>
      <c r="T9" s="101">
        <v>179</v>
      </c>
      <c r="U9" s="5">
        <v>15</v>
      </c>
      <c r="V9" s="5">
        <v>5</v>
      </c>
      <c r="W9" s="4">
        <f>+T9+X9</f>
        <v>206</v>
      </c>
      <c r="X9" s="95">
        <v>27</v>
      </c>
      <c r="Y9" s="115">
        <f>+G9+L9+Q9+V9</f>
        <v>27</v>
      </c>
      <c r="Z9" s="13">
        <f>+Y9/(C9+D9)</f>
        <v>2.25</v>
      </c>
    </row>
    <row r="10" spans="2:26" x14ac:dyDescent="0.3">
      <c r="E10" s="102"/>
      <c r="J10" s="102"/>
      <c r="N10" s="103"/>
      <c r="O10" s="102"/>
      <c r="S10" s="103"/>
      <c r="T10" s="102"/>
      <c r="X10" s="103"/>
    </row>
    <row r="11" spans="2:26" ht="38.25" customHeight="1" x14ac:dyDescent="0.3">
      <c r="B11" s="15"/>
      <c r="C11" s="62" t="s">
        <v>2</v>
      </c>
      <c r="D11" s="91" t="s">
        <v>3</v>
      </c>
      <c r="E11" s="104" t="s">
        <v>4</v>
      </c>
      <c r="F11" s="63" t="s">
        <v>5</v>
      </c>
      <c r="G11" s="63" t="s">
        <v>6</v>
      </c>
      <c r="H11" s="61" t="s">
        <v>7</v>
      </c>
      <c r="I11" s="112" t="s">
        <v>8</v>
      </c>
      <c r="J11" s="104" t="s">
        <v>4</v>
      </c>
      <c r="K11" s="64" t="s">
        <v>5</v>
      </c>
      <c r="L11" s="11" t="s">
        <v>9</v>
      </c>
      <c r="M11" s="61" t="s">
        <v>7</v>
      </c>
      <c r="N11" s="105" t="s">
        <v>8</v>
      </c>
      <c r="O11" s="104" t="s">
        <v>4</v>
      </c>
      <c r="P11" s="65" t="s">
        <v>15</v>
      </c>
      <c r="Q11" s="65" t="s">
        <v>16</v>
      </c>
      <c r="R11" s="61" t="s">
        <v>7</v>
      </c>
      <c r="S11" s="105" t="s">
        <v>8</v>
      </c>
      <c r="T11" s="104" t="s">
        <v>4</v>
      </c>
      <c r="U11" s="66" t="s">
        <v>5</v>
      </c>
      <c r="V11" s="66" t="s">
        <v>9</v>
      </c>
      <c r="W11" s="61" t="s">
        <v>7</v>
      </c>
      <c r="X11" s="105" t="s">
        <v>8</v>
      </c>
      <c r="Y11" s="117" t="s">
        <v>10</v>
      </c>
      <c r="Z11" s="62" t="s">
        <v>11</v>
      </c>
    </row>
    <row r="12" spans="2:26" x14ac:dyDescent="0.3">
      <c r="B12" s="3" t="s">
        <v>18</v>
      </c>
      <c r="C12" s="5">
        <v>30</v>
      </c>
      <c r="D12" s="88"/>
      <c r="E12" s="101">
        <v>250</v>
      </c>
      <c r="F12" s="5">
        <v>23</v>
      </c>
      <c r="G12" s="5">
        <v>4</v>
      </c>
      <c r="H12" s="4">
        <f>+E12+I12</f>
        <v>298</v>
      </c>
      <c r="I12" s="110">
        <v>48</v>
      </c>
      <c r="J12" s="101">
        <v>257</v>
      </c>
      <c r="K12" s="5">
        <v>23</v>
      </c>
      <c r="L12" s="5">
        <v>8</v>
      </c>
      <c r="M12" s="4">
        <f>+J12+N12</f>
        <v>303</v>
      </c>
      <c r="N12" s="95">
        <v>46</v>
      </c>
      <c r="O12" s="101">
        <v>268</v>
      </c>
      <c r="P12" s="5">
        <v>16</v>
      </c>
      <c r="Q12" s="5">
        <v>7</v>
      </c>
      <c r="R12" s="4">
        <f>+O12+S12</f>
        <v>308</v>
      </c>
      <c r="S12" s="95">
        <v>40</v>
      </c>
      <c r="T12" s="101">
        <v>278</v>
      </c>
      <c r="U12" s="5">
        <v>21</v>
      </c>
      <c r="V12" s="5">
        <v>5</v>
      </c>
      <c r="W12" s="4">
        <f>+T12+X12</f>
        <v>309</v>
      </c>
      <c r="X12" s="95">
        <v>31</v>
      </c>
      <c r="Y12" s="115">
        <f>+G12+L12+Q12+V12</f>
        <v>24</v>
      </c>
      <c r="Z12" s="13">
        <f>+Y12/(C12+D12)</f>
        <v>0.8</v>
      </c>
    </row>
    <row r="13" spans="2:26" ht="12" customHeight="1" x14ac:dyDescent="0.3">
      <c r="E13" s="102"/>
      <c r="J13" s="102"/>
      <c r="N13" s="103"/>
      <c r="O13" s="102"/>
      <c r="S13" s="103"/>
      <c r="T13" s="102"/>
      <c r="X13" s="103"/>
    </row>
    <row r="14" spans="2:26" ht="34.5" customHeight="1" x14ac:dyDescent="0.3">
      <c r="B14" s="9" t="s">
        <v>19</v>
      </c>
      <c r="C14" s="59" t="s">
        <v>2</v>
      </c>
      <c r="D14" s="87" t="s">
        <v>3</v>
      </c>
      <c r="E14" s="92" t="s">
        <v>4</v>
      </c>
      <c r="F14" s="60" t="s">
        <v>5</v>
      </c>
      <c r="G14" s="60" t="s">
        <v>6</v>
      </c>
      <c r="H14" s="6" t="s">
        <v>7</v>
      </c>
      <c r="I14" s="109" t="s">
        <v>8</v>
      </c>
      <c r="J14" s="92" t="s">
        <v>4</v>
      </c>
      <c r="K14" s="11" t="s">
        <v>5</v>
      </c>
      <c r="L14" s="11" t="s">
        <v>9</v>
      </c>
      <c r="M14" s="6" t="s">
        <v>7</v>
      </c>
      <c r="N14" s="93" t="s">
        <v>8</v>
      </c>
      <c r="O14" s="92" t="s">
        <v>4</v>
      </c>
      <c r="P14" s="65" t="s">
        <v>15</v>
      </c>
      <c r="Q14" s="65" t="s">
        <v>16</v>
      </c>
      <c r="R14" s="6" t="s">
        <v>7</v>
      </c>
      <c r="S14" s="93" t="s">
        <v>8</v>
      </c>
      <c r="T14" s="92" t="s">
        <v>4</v>
      </c>
      <c r="U14" s="66" t="s">
        <v>5</v>
      </c>
      <c r="V14" s="66" t="s">
        <v>9</v>
      </c>
      <c r="W14" s="6" t="s">
        <v>7</v>
      </c>
      <c r="X14" s="93" t="s">
        <v>8</v>
      </c>
      <c r="Y14" s="114" t="s">
        <v>10</v>
      </c>
      <c r="Z14" s="59" t="s">
        <v>11</v>
      </c>
    </row>
    <row r="15" spans="2:26" x14ac:dyDescent="0.3">
      <c r="B15" s="7" t="s">
        <v>20</v>
      </c>
      <c r="C15" s="5">
        <v>3</v>
      </c>
      <c r="D15" s="88"/>
      <c r="E15" s="101">
        <v>77</v>
      </c>
      <c r="F15" s="5">
        <v>3</v>
      </c>
      <c r="G15" s="5"/>
      <c r="H15" s="4">
        <f>+E15+I15</f>
        <v>77</v>
      </c>
      <c r="I15" s="110">
        <v>0</v>
      </c>
      <c r="J15" s="101">
        <v>77</v>
      </c>
      <c r="K15" s="14">
        <v>3</v>
      </c>
      <c r="L15" s="14">
        <v>2</v>
      </c>
      <c r="M15" s="4">
        <f>+J15+N15</f>
        <v>77</v>
      </c>
      <c r="N15" s="95">
        <v>0</v>
      </c>
      <c r="O15" s="101">
        <v>78</v>
      </c>
      <c r="P15" s="5">
        <v>2</v>
      </c>
      <c r="Q15" s="5">
        <v>1</v>
      </c>
      <c r="R15" s="4">
        <f>+O15+S15</f>
        <v>78</v>
      </c>
      <c r="S15" s="95">
        <v>0</v>
      </c>
      <c r="T15" s="101">
        <v>77</v>
      </c>
      <c r="U15" s="5">
        <v>0</v>
      </c>
      <c r="V15" s="5"/>
      <c r="W15" s="4">
        <f>+T15+X15</f>
        <v>77</v>
      </c>
      <c r="X15" s="95">
        <v>0</v>
      </c>
      <c r="Y15" s="115">
        <f>+G15+L15+Q15+V15</f>
        <v>3</v>
      </c>
      <c r="Z15" s="13">
        <f>+Y15/(C15+D15)</f>
        <v>1</v>
      </c>
    </row>
    <row r="16" spans="2:26" x14ac:dyDescent="0.3">
      <c r="B16" s="7" t="s">
        <v>21</v>
      </c>
      <c r="C16" s="5">
        <v>1</v>
      </c>
      <c r="D16" s="88"/>
      <c r="E16" s="101">
        <v>34</v>
      </c>
      <c r="F16" s="5">
        <v>1</v>
      </c>
      <c r="G16" s="5"/>
      <c r="H16" s="4">
        <f>+E16+I16</f>
        <v>34</v>
      </c>
      <c r="I16" s="110">
        <v>0</v>
      </c>
      <c r="J16" s="101">
        <v>33</v>
      </c>
      <c r="K16" s="4"/>
      <c r="L16" s="14"/>
      <c r="M16" s="4">
        <f>+J16+N16</f>
        <v>33</v>
      </c>
      <c r="N16" s="95">
        <v>0</v>
      </c>
      <c r="O16" s="101">
        <v>35</v>
      </c>
      <c r="P16" s="5"/>
      <c r="Q16" s="5"/>
      <c r="R16" s="4">
        <f>+O16+S16</f>
        <v>35</v>
      </c>
      <c r="S16" s="95">
        <v>0</v>
      </c>
      <c r="T16" s="101">
        <v>35</v>
      </c>
      <c r="U16" s="4"/>
      <c r="V16" s="4"/>
      <c r="W16" s="4">
        <f>+T16+X16</f>
        <v>35</v>
      </c>
      <c r="X16" s="95">
        <v>0</v>
      </c>
      <c r="Y16" s="115">
        <f>+G16+L16+Q16+V16</f>
        <v>0</v>
      </c>
      <c r="Z16" s="13">
        <f>+Y16/(C16+D16)</f>
        <v>0</v>
      </c>
    </row>
    <row r="17" spans="2:26" ht="12" customHeight="1" x14ac:dyDescent="0.3">
      <c r="B17" s="18" t="s">
        <v>22</v>
      </c>
      <c r="C17" s="19"/>
      <c r="D17" s="90"/>
      <c r="E17" s="106">
        <f>SUM(E15:E16)</f>
        <v>111</v>
      </c>
      <c r="F17" s="107">
        <f>+F15+F16</f>
        <v>4</v>
      </c>
      <c r="G17" s="107">
        <f t="shared" ref="G17:N17" si="0">SUM(G15:G16)</f>
        <v>0</v>
      </c>
      <c r="H17" s="107">
        <f t="shared" si="0"/>
        <v>111</v>
      </c>
      <c r="I17" s="113">
        <f t="shared" si="0"/>
        <v>0</v>
      </c>
      <c r="J17" s="106">
        <f t="shared" si="0"/>
        <v>110</v>
      </c>
      <c r="K17" s="37">
        <f t="shared" si="0"/>
        <v>3</v>
      </c>
      <c r="L17" s="37">
        <f t="shared" si="0"/>
        <v>2</v>
      </c>
      <c r="M17" s="107">
        <f t="shared" si="0"/>
        <v>110</v>
      </c>
      <c r="N17" s="108">
        <f t="shared" si="0"/>
        <v>0</v>
      </c>
      <c r="O17" s="106"/>
      <c r="P17" s="37">
        <f>SUM(P15:P16)</f>
        <v>2</v>
      </c>
      <c r="Q17" s="37">
        <f>SUM(Q15:Q16)</f>
        <v>1</v>
      </c>
      <c r="R17" s="107">
        <f>R15+R16</f>
        <v>113</v>
      </c>
      <c r="S17" s="108"/>
      <c r="T17" s="106"/>
      <c r="U17" s="37">
        <f>SUM(U15:U16)</f>
        <v>0</v>
      </c>
      <c r="V17" s="37">
        <v>0</v>
      </c>
      <c r="W17" s="107">
        <f>W15+W16</f>
        <v>112</v>
      </c>
      <c r="X17" s="108"/>
      <c r="Y17" s="116"/>
      <c r="Z17" s="21"/>
    </row>
    <row r="22" spans="2:26" x14ac:dyDescent="0.3">
      <c r="Y22">
        <f>+Y4+Y9+Y12+Y15</f>
        <v>96</v>
      </c>
    </row>
  </sheetData>
  <mergeCells count="4">
    <mergeCell ref="E2:I2"/>
    <mergeCell ref="J2:N2"/>
    <mergeCell ref="O2:S2"/>
    <mergeCell ref="T2:X2"/>
  </mergeCells>
  <pageMargins left="0.7" right="0.7" top="0.75" bottom="0.75" header="0.3" footer="0.3"/>
  <pageSetup paperSize="9" orientation="portrait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C8C0-66B8-496C-B4E0-CA4295AF679B}">
  <sheetPr>
    <tabColor rgb="FF7030A0"/>
  </sheetPr>
  <dimension ref="B1:Z22"/>
  <sheetViews>
    <sheetView showGridLines="0"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G5" sqref="G5"/>
    </sheetView>
  </sheetViews>
  <sheetFormatPr baseColWidth="10" defaultColWidth="11.44140625" defaultRowHeight="14.4" x14ac:dyDescent="0.3"/>
  <cols>
    <col min="1" max="1" width="3.109375" customWidth="1"/>
    <col min="2" max="2" width="15.5546875" customWidth="1"/>
    <col min="3" max="3" width="12.33203125" style="2" customWidth="1"/>
    <col min="4" max="4" width="13.5546875" style="2" customWidth="1"/>
    <col min="5" max="5" width="8.6640625" style="1" customWidth="1"/>
    <col min="6" max="7" width="8.6640625" style="2" customWidth="1"/>
    <col min="8" max="10" width="8.6640625" style="1" customWidth="1"/>
    <col min="11" max="12" width="8.6640625" customWidth="1"/>
    <col min="13" max="15" width="8.6640625" style="1" customWidth="1"/>
    <col min="16" max="17" width="8.6640625" customWidth="1"/>
    <col min="18" max="20" width="8.6640625" style="1" customWidth="1"/>
    <col min="21" max="22" width="8.6640625" customWidth="1"/>
    <col min="23" max="24" width="8.6640625" style="1" customWidth="1"/>
    <col min="25" max="25" width="15" customWidth="1"/>
    <col min="26" max="26" width="13" style="1" customWidth="1"/>
  </cols>
  <sheetData>
    <row r="1" spans="2:26" ht="15" thickBot="1" x14ac:dyDescent="0.35"/>
    <row r="2" spans="2:26" ht="14.4" customHeight="1" x14ac:dyDescent="0.3">
      <c r="B2" s="8" t="s">
        <v>0</v>
      </c>
      <c r="C2" s="2" t="s">
        <v>1</v>
      </c>
      <c r="E2" s="184" t="s">
        <v>23</v>
      </c>
      <c r="F2" s="185"/>
      <c r="G2" s="185"/>
      <c r="H2" s="185"/>
      <c r="I2" s="185"/>
      <c r="J2" s="186" t="s">
        <v>24</v>
      </c>
      <c r="K2" s="187"/>
      <c r="L2" s="187"/>
      <c r="M2" s="187"/>
      <c r="N2" s="188"/>
      <c r="O2" s="194" t="s">
        <v>25</v>
      </c>
      <c r="P2" s="189"/>
      <c r="Q2" s="189"/>
      <c r="R2" s="189"/>
      <c r="S2" s="190"/>
      <c r="T2" s="191" t="s">
        <v>26</v>
      </c>
      <c r="U2" s="192"/>
      <c r="V2" s="192"/>
      <c r="W2" s="192"/>
      <c r="X2" s="193"/>
    </row>
    <row r="3" spans="2:26" ht="38.25" customHeight="1" x14ac:dyDescent="0.3">
      <c r="B3" s="3"/>
      <c r="C3" s="59" t="s">
        <v>2</v>
      </c>
      <c r="D3" s="87" t="s">
        <v>3</v>
      </c>
      <c r="E3" s="92" t="s">
        <v>4</v>
      </c>
      <c r="F3" s="60" t="s">
        <v>5</v>
      </c>
      <c r="G3" s="60" t="s">
        <v>6</v>
      </c>
      <c r="H3" s="6" t="s">
        <v>7</v>
      </c>
      <c r="I3" s="109" t="s">
        <v>8</v>
      </c>
      <c r="J3" s="92" t="s">
        <v>4</v>
      </c>
      <c r="K3" s="11" t="s">
        <v>5</v>
      </c>
      <c r="L3" s="11" t="s">
        <v>9</v>
      </c>
      <c r="M3" s="6" t="s">
        <v>7</v>
      </c>
      <c r="N3" s="93" t="s">
        <v>8</v>
      </c>
      <c r="O3" s="92" t="s">
        <v>4</v>
      </c>
      <c r="P3" s="65" t="s">
        <v>5</v>
      </c>
      <c r="Q3" s="65" t="s">
        <v>9</v>
      </c>
      <c r="R3" s="6" t="s">
        <v>7</v>
      </c>
      <c r="S3" s="93" t="s">
        <v>8</v>
      </c>
      <c r="T3" s="92" t="s">
        <v>4</v>
      </c>
      <c r="U3" s="66" t="s">
        <v>5</v>
      </c>
      <c r="V3" s="118" t="s">
        <v>9</v>
      </c>
      <c r="W3" s="6" t="s">
        <v>7</v>
      </c>
      <c r="X3" s="93" t="s">
        <v>8</v>
      </c>
      <c r="Y3" s="114" t="s">
        <v>10</v>
      </c>
      <c r="Z3" s="59" t="s">
        <v>11</v>
      </c>
    </row>
    <row r="4" spans="2:26" x14ac:dyDescent="0.3">
      <c r="B4" s="3" t="s">
        <v>12</v>
      </c>
      <c r="C4" s="5">
        <v>74</v>
      </c>
      <c r="D4" s="88"/>
      <c r="E4" s="94">
        <v>244</v>
      </c>
      <c r="F4" s="46">
        <v>11</v>
      </c>
      <c r="G4" s="5">
        <v>3</v>
      </c>
      <c r="H4" s="4">
        <f>+I4+E4</f>
        <v>290</v>
      </c>
      <c r="I4" s="110">
        <v>46</v>
      </c>
      <c r="J4" s="94">
        <v>258</v>
      </c>
      <c r="K4" s="46">
        <v>25</v>
      </c>
      <c r="L4" s="5">
        <v>12</v>
      </c>
      <c r="M4" s="4">
        <f>+N4+J4</f>
        <v>296</v>
      </c>
      <c r="N4" s="95">
        <v>38</v>
      </c>
      <c r="O4" s="94">
        <v>268</v>
      </c>
      <c r="P4" s="5">
        <v>9</v>
      </c>
      <c r="Q4" s="5">
        <v>3</v>
      </c>
      <c r="R4" s="4">
        <f>+S4+O4</f>
        <v>354</v>
      </c>
      <c r="S4" s="95">
        <v>86</v>
      </c>
      <c r="T4" s="94">
        <v>257</v>
      </c>
      <c r="U4" s="5">
        <v>25</v>
      </c>
      <c r="V4" s="119">
        <v>10</v>
      </c>
      <c r="W4" s="4">
        <f>+X4+T4</f>
        <v>299</v>
      </c>
      <c r="X4" s="95">
        <v>42</v>
      </c>
      <c r="Y4" s="115">
        <f>+G4+L4+Q4+V4</f>
        <v>28</v>
      </c>
      <c r="Z4" s="13">
        <f>+Y4/(C4+D4)</f>
        <v>0.3783783783783784</v>
      </c>
    </row>
    <row r="5" spans="2:26" x14ac:dyDescent="0.3">
      <c r="B5" s="15" t="s">
        <v>13</v>
      </c>
      <c r="C5" s="14">
        <v>4</v>
      </c>
      <c r="D5" s="89"/>
      <c r="E5" s="94">
        <v>35</v>
      </c>
      <c r="F5" s="14">
        <v>1</v>
      </c>
      <c r="G5" s="14">
        <v>1</v>
      </c>
      <c r="H5" s="17">
        <f>+E5+I5</f>
        <v>37</v>
      </c>
      <c r="I5" s="111">
        <v>2</v>
      </c>
      <c r="J5" s="94">
        <v>35</v>
      </c>
      <c r="K5" s="14"/>
      <c r="L5" s="14"/>
      <c r="M5" s="17">
        <f>+J5+N5</f>
        <v>39</v>
      </c>
      <c r="N5" s="96">
        <v>4</v>
      </c>
      <c r="O5" s="94">
        <v>35</v>
      </c>
      <c r="P5" s="14"/>
      <c r="Q5" s="14"/>
      <c r="R5" s="17">
        <f>+O5+S5</f>
        <v>39</v>
      </c>
      <c r="S5" s="96">
        <v>4</v>
      </c>
      <c r="T5" s="94">
        <v>28</v>
      </c>
      <c r="U5" s="4"/>
      <c r="V5" s="120"/>
      <c r="W5" s="17">
        <f>+T5+X5</f>
        <v>32</v>
      </c>
      <c r="X5" s="96">
        <v>4</v>
      </c>
      <c r="Y5" s="115">
        <f>+G5+L5+Q5+V5</f>
        <v>1</v>
      </c>
      <c r="Z5" s="13">
        <f>+Y5/(C5+D5)</f>
        <v>0.25</v>
      </c>
    </row>
    <row r="6" spans="2:26" ht="18.75" customHeight="1" x14ac:dyDescent="0.3">
      <c r="B6" s="18" t="s">
        <v>14</v>
      </c>
      <c r="C6" s="19"/>
      <c r="D6" s="90"/>
      <c r="E6" s="97">
        <f>E4+E5</f>
        <v>279</v>
      </c>
      <c r="F6" s="4">
        <f>+F4+F5</f>
        <v>12</v>
      </c>
      <c r="G6" s="4">
        <f>G4+G5</f>
        <v>4</v>
      </c>
      <c r="H6" s="5">
        <f>+H4+H5</f>
        <v>327</v>
      </c>
      <c r="I6" s="88">
        <f>+I4+I5</f>
        <v>48</v>
      </c>
      <c r="J6" s="97">
        <f>+J4+J5</f>
        <v>293</v>
      </c>
      <c r="K6" s="4">
        <f>SUM(K4:K5)</f>
        <v>25</v>
      </c>
      <c r="L6" s="4">
        <f>SUM(L4:L5)</f>
        <v>12</v>
      </c>
      <c r="M6" s="5">
        <f>+M4+M5</f>
        <v>335</v>
      </c>
      <c r="N6" s="98">
        <f>+N4+N5</f>
        <v>42</v>
      </c>
      <c r="O6" s="97">
        <f>+O4+O5</f>
        <v>303</v>
      </c>
      <c r="P6" s="4">
        <f>SUM(P4:P5)</f>
        <v>9</v>
      </c>
      <c r="Q6" s="4">
        <f>SUM(Q4:Q5)</f>
        <v>3</v>
      </c>
      <c r="R6" s="5">
        <f>+R4+R5</f>
        <v>393</v>
      </c>
      <c r="S6" s="98">
        <f>+S4+S5</f>
        <v>90</v>
      </c>
      <c r="T6" s="97">
        <f>+T4+T5</f>
        <v>285</v>
      </c>
      <c r="U6" s="4">
        <f>SUM(U4:U5)</f>
        <v>25</v>
      </c>
      <c r="V6" s="121">
        <f>+V4+V5</f>
        <v>10</v>
      </c>
      <c r="W6" s="5">
        <f>+W4+W5</f>
        <v>331</v>
      </c>
      <c r="X6" s="98">
        <f>+X4+X5</f>
        <v>46</v>
      </c>
      <c r="Y6" s="116"/>
      <c r="Z6" s="21"/>
    </row>
    <row r="7" spans="2:26" ht="12" customHeight="1" x14ac:dyDescent="0.3">
      <c r="E7" s="99"/>
      <c r="H7" s="2"/>
      <c r="I7" s="2"/>
      <c r="J7" s="99"/>
      <c r="M7" s="2"/>
      <c r="N7" s="100"/>
      <c r="O7" s="99"/>
      <c r="R7" s="2"/>
      <c r="S7" s="100"/>
      <c r="T7" s="99"/>
      <c r="W7" s="2"/>
      <c r="X7" s="100"/>
      <c r="Y7" s="12"/>
    </row>
    <row r="8" spans="2:26" ht="33.75" customHeight="1" x14ac:dyDescent="0.3">
      <c r="B8" s="3"/>
      <c r="C8" s="59" t="s">
        <v>2</v>
      </c>
      <c r="D8" s="87" t="s">
        <v>3</v>
      </c>
      <c r="E8" s="92" t="s">
        <v>4</v>
      </c>
      <c r="F8" s="60" t="s">
        <v>5</v>
      </c>
      <c r="G8" s="60" t="s">
        <v>6</v>
      </c>
      <c r="H8" s="6" t="s">
        <v>7</v>
      </c>
      <c r="I8" s="109" t="s">
        <v>8</v>
      </c>
      <c r="J8" s="92" t="s">
        <v>4</v>
      </c>
      <c r="K8" s="11" t="s">
        <v>5</v>
      </c>
      <c r="L8" s="11" t="s">
        <v>9</v>
      </c>
      <c r="M8" s="6" t="s">
        <v>7</v>
      </c>
      <c r="N8" s="93" t="s">
        <v>8</v>
      </c>
      <c r="O8" s="92" t="s">
        <v>4</v>
      </c>
      <c r="P8" s="65" t="s">
        <v>15</v>
      </c>
      <c r="Q8" s="65" t="s">
        <v>16</v>
      </c>
      <c r="R8" s="6" t="s">
        <v>7</v>
      </c>
      <c r="S8" s="93" t="s">
        <v>8</v>
      </c>
      <c r="T8" s="92" t="s">
        <v>4</v>
      </c>
      <c r="U8" s="66" t="s">
        <v>5</v>
      </c>
      <c r="V8" s="66" t="s">
        <v>9</v>
      </c>
      <c r="W8" s="6" t="s">
        <v>7</v>
      </c>
      <c r="X8" s="93" t="s">
        <v>8</v>
      </c>
      <c r="Y8" s="114" t="s">
        <v>10</v>
      </c>
      <c r="Z8" s="59" t="s">
        <v>11</v>
      </c>
    </row>
    <row r="9" spans="2:26" x14ac:dyDescent="0.3">
      <c r="B9" s="3" t="s">
        <v>17</v>
      </c>
      <c r="C9" s="5">
        <v>34</v>
      </c>
      <c r="D9" s="88"/>
      <c r="E9" s="101">
        <v>151</v>
      </c>
      <c r="F9" s="5">
        <v>8</v>
      </c>
      <c r="G9" s="5">
        <v>4</v>
      </c>
      <c r="H9" s="4">
        <f>+E9+I9</f>
        <v>168</v>
      </c>
      <c r="I9" s="110">
        <v>17</v>
      </c>
      <c r="J9" s="101">
        <v>159</v>
      </c>
      <c r="K9" s="5">
        <v>14</v>
      </c>
      <c r="L9" s="5">
        <v>6</v>
      </c>
      <c r="M9" s="4">
        <f>N9+J9</f>
        <v>170</v>
      </c>
      <c r="N9" s="95">
        <v>11</v>
      </c>
      <c r="O9" s="101">
        <v>161</v>
      </c>
      <c r="P9" s="5">
        <v>14</v>
      </c>
      <c r="Q9" s="5">
        <v>6</v>
      </c>
      <c r="R9" s="4">
        <f>+O9+S9</f>
        <v>179</v>
      </c>
      <c r="S9" s="95">
        <v>18</v>
      </c>
      <c r="T9" s="101">
        <v>166</v>
      </c>
      <c r="U9" s="5">
        <v>16</v>
      </c>
      <c r="V9" s="5"/>
      <c r="W9" s="4">
        <f>+T9+X9</f>
        <v>188</v>
      </c>
      <c r="X9" s="95">
        <v>22</v>
      </c>
      <c r="Y9" s="115">
        <f>+G9+L9+Q9+V9</f>
        <v>16</v>
      </c>
      <c r="Z9" s="13">
        <f>+Y9/(C9+D9)</f>
        <v>0.47058823529411764</v>
      </c>
    </row>
    <row r="10" spans="2:26" x14ac:dyDescent="0.3">
      <c r="E10" s="102"/>
      <c r="J10" s="102"/>
      <c r="N10" s="103"/>
      <c r="O10" s="102"/>
      <c r="S10" s="103"/>
      <c r="T10" s="102"/>
      <c r="X10" s="103"/>
    </row>
    <row r="11" spans="2:26" ht="38.25" customHeight="1" x14ac:dyDescent="0.3">
      <c r="B11" s="15"/>
      <c r="C11" s="62" t="s">
        <v>2</v>
      </c>
      <c r="D11" s="91" t="s">
        <v>3</v>
      </c>
      <c r="E11" s="104" t="s">
        <v>4</v>
      </c>
      <c r="F11" s="63" t="s">
        <v>5</v>
      </c>
      <c r="G11" s="63" t="s">
        <v>6</v>
      </c>
      <c r="H11" s="61" t="s">
        <v>7</v>
      </c>
      <c r="I11" s="112" t="s">
        <v>8</v>
      </c>
      <c r="J11" s="104" t="s">
        <v>4</v>
      </c>
      <c r="K11" s="64" t="s">
        <v>5</v>
      </c>
      <c r="L11" s="11" t="s">
        <v>9</v>
      </c>
      <c r="M11" s="61" t="s">
        <v>7</v>
      </c>
      <c r="N11" s="105" t="s">
        <v>8</v>
      </c>
      <c r="O11" s="104" t="s">
        <v>4</v>
      </c>
      <c r="P11" s="65" t="s">
        <v>15</v>
      </c>
      <c r="Q11" s="65" t="s">
        <v>16</v>
      </c>
      <c r="R11" s="61" t="s">
        <v>7</v>
      </c>
      <c r="S11" s="105" t="s">
        <v>8</v>
      </c>
      <c r="T11" s="104" t="s">
        <v>4</v>
      </c>
      <c r="U11" s="66" t="s">
        <v>5</v>
      </c>
      <c r="V11" s="66" t="s">
        <v>9</v>
      </c>
      <c r="W11" s="61" t="s">
        <v>7</v>
      </c>
      <c r="X11" s="105" t="s">
        <v>8</v>
      </c>
      <c r="Y11" s="117" t="s">
        <v>10</v>
      </c>
      <c r="Z11" s="62" t="s">
        <v>11</v>
      </c>
    </row>
    <row r="12" spans="2:26" x14ac:dyDescent="0.3">
      <c r="B12" s="3" t="s">
        <v>18</v>
      </c>
      <c r="C12" s="5">
        <v>26</v>
      </c>
      <c r="D12" s="88"/>
      <c r="E12" s="101">
        <v>271</v>
      </c>
      <c r="F12" s="5">
        <v>15</v>
      </c>
      <c r="G12" s="5">
        <v>4</v>
      </c>
      <c r="H12" s="4">
        <f>+E12+I12</f>
        <v>321</v>
      </c>
      <c r="I12" s="110">
        <v>50</v>
      </c>
      <c r="J12" s="101">
        <v>266</v>
      </c>
      <c r="K12" s="5">
        <v>16</v>
      </c>
      <c r="L12" s="5">
        <v>8</v>
      </c>
      <c r="M12" s="4">
        <f>+J12+N12</f>
        <v>315</v>
      </c>
      <c r="N12" s="95">
        <v>49</v>
      </c>
      <c r="O12" s="101">
        <v>276</v>
      </c>
      <c r="P12" s="5">
        <v>11</v>
      </c>
      <c r="Q12" s="5">
        <v>5</v>
      </c>
      <c r="R12" s="4">
        <f>+O12+S12</f>
        <v>312</v>
      </c>
      <c r="S12" s="95">
        <v>36</v>
      </c>
      <c r="T12" s="101">
        <v>252</v>
      </c>
      <c r="U12" s="5">
        <v>17</v>
      </c>
      <c r="V12" s="5"/>
      <c r="W12" s="4">
        <f>+T12+X12</f>
        <v>293</v>
      </c>
      <c r="X12" s="95">
        <v>41</v>
      </c>
      <c r="Y12" s="115">
        <f>+G12+L12+Q12+V12</f>
        <v>17</v>
      </c>
      <c r="Z12" s="13">
        <f>+Y12/(C12+D12)</f>
        <v>0.65384615384615385</v>
      </c>
    </row>
    <row r="13" spans="2:26" ht="12" customHeight="1" x14ac:dyDescent="0.3">
      <c r="E13" s="102"/>
      <c r="J13" s="102"/>
      <c r="N13" s="103"/>
      <c r="O13" s="102"/>
      <c r="S13" s="103"/>
      <c r="T13" s="102"/>
      <c r="X13" s="103"/>
    </row>
    <row r="14" spans="2:26" ht="34.5" customHeight="1" x14ac:dyDescent="0.3">
      <c r="B14" s="9" t="s">
        <v>19</v>
      </c>
      <c r="C14" s="59" t="s">
        <v>2</v>
      </c>
      <c r="D14" s="87" t="s">
        <v>3</v>
      </c>
      <c r="E14" s="92" t="s">
        <v>4</v>
      </c>
      <c r="F14" s="60" t="s">
        <v>5</v>
      </c>
      <c r="G14" s="60" t="s">
        <v>6</v>
      </c>
      <c r="H14" s="6" t="s">
        <v>7</v>
      </c>
      <c r="I14" s="109" t="s">
        <v>8</v>
      </c>
      <c r="J14" s="92" t="s">
        <v>4</v>
      </c>
      <c r="K14" s="11" t="s">
        <v>5</v>
      </c>
      <c r="L14" s="11" t="s">
        <v>9</v>
      </c>
      <c r="M14" s="6" t="s">
        <v>7</v>
      </c>
      <c r="N14" s="93" t="s">
        <v>8</v>
      </c>
      <c r="O14" s="92" t="s">
        <v>4</v>
      </c>
      <c r="P14" s="65" t="s">
        <v>15</v>
      </c>
      <c r="Q14" s="65" t="s">
        <v>16</v>
      </c>
      <c r="R14" s="6" t="s">
        <v>7</v>
      </c>
      <c r="S14" s="93" t="s">
        <v>8</v>
      </c>
      <c r="T14" s="92" t="s">
        <v>4</v>
      </c>
      <c r="U14" s="66" t="s">
        <v>5</v>
      </c>
      <c r="V14" s="66" t="s">
        <v>9</v>
      </c>
      <c r="W14" s="6" t="s">
        <v>7</v>
      </c>
      <c r="X14" s="93" t="s">
        <v>8</v>
      </c>
      <c r="Y14" s="114" t="s">
        <v>10</v>
      </c>
      <c r="Z14" s="59" t="s">
        <v>11</v>
      </c>
    </row>
    <row r="15" spans="2:26" x14ac:dyDescent="0.3">
      <c r="B15" s="7" t="s">
        <v>20</v>
      </c>
      <c r="C15" s="5">
        <v>4</v>
      </c>
      <c r="D15" s="88"/>
      <c r="E15" s="101">
        <v>78</v>
      </c>
      <c r="F15" s="5">
        <v>2</v>
      </c>
      <c r="G15" s="5">
        <v>0</v>
      </c>
      <c r="H15" s="4">
        <f>+E15+I15</f>
        <v>78</v>
      </c>
      <c r="I15" s="110">
        <v>0</v>
      </c>
      <c r="J15" s="101">
        <v>78</v>
      </c>
      <c r="K15" s="14">
        <v>2</v>
      </c>
      <c r="L15" s="14">
        <v>0</v>
      </c>
      <c r="M15" s="4">
        <f>+J15+N15</f>
        <v>78</v>
      </c>
      <c r="N15" s="95">
        <v>0</v>
      </c>
      <c r="O15" s="101">
        <v>78</v>
      </c>
      <c r="P15" s="5">
        <v>1</v>
      </c>
      <c r="Q15" s="5">
        <v>0</v>
      </c>
      <c r="R15" s="4">
        <f>+O15+S15</f>
        <v>78</v>
      </c>
      <c r="S15" s="95">
        <v>0</v>
      </c>
      <c r="T15" s="101">
        <v>77</v>
      </c>
      <c r="U15" s="5">
        <v>2</v>
      </c>
      <c r="V15" s="5"/>
      <c r="W15" s="4">
        <f>+T15+X15</f>
        <v>77</v>
      </c>
      <c r="X15" s="95">
        <v>0</v>
      </c>
      <c r="Y15" s="115">
        <f>+G15+L15+Q15+V15</f>
        <v>0</v>
      </c>
      <c r="Z15" s="13">
        <f>+Y15/(C15+D15)</f>
        <v>0</v>
      </c>
    </row>
    <row r="16" spans="2:26" x14ac:dyDescent="0.3">
      <c r="B16" s="7"/>
      <c r="C16" s="5"/>
      <c r="D16" s="88"/>
      <c r="E16" s="101">
        <v>27</v>
      </c>
      <c r="F16" s="5">
        <v>0</v>
      </c>
      <c r="G16" s="5">
        <v>0</v>
      </c>
      <c r="H16" s="4">
        <f>+E16+I16</f>
        <v>27</v>
      </c>
      <c r="I16" s="110">
        <v>0</v>
      </c>
      <c r="J16" s="101">
        <v>24</v>
      </c>
      <c r="K16" s="4"/>
      <c r="L16" s="14"/>
      <c r="M16" s="4">
        <f>+J16+N16</f>
        <v>24</v>
      </c>
      <c r="N16" s="95">
        <v>0</v>
      </c>
      <c r="O16" s="101">
        <v>24</v>
      </c>
      <c r="P16" s="5">
        <v>0</v>
      </c>
      <c r="Q16" s="5">
        <v>0</v>
      </c>
      <c r="R16" s="4">
        <f>+O16+S16</f>
        <v>24</v>
      </c>
      <c r="S16" s="95">
        <v>0</v>
      </c>
      <c r="T16" s="101"/>
      <c r="U16" s="4"/>
      <c r="V16" s="4"/>
      <c r="W16" s="4">
        <f>+T16+X16</f>
        <v>0</v>
      </c>
      <c r="X16" s="95">
        <v>0</v>
      </c>
      <c r="Y16" s="115">
        <f>+G16+L16+Q16+V16</f>
        <v>0</v>
      </c>
      <c r="Z16" s="13" t="e">
        <f>+Y16/(C16+D16)</f>
        <v>#DIV/0!</v>
      </c>
    </row>
    <row r="17" spans="2:26" x14ac:dyDescent="0.3">
      <c r="B17" s="7" t="s">
        <v>21</v>
      </c>
      <c r="C17" s="5">
        <v>3</v>
      </c>
      <c r="D17" s="88"/>
      <c r="E17" s="101">
        <v>35</v>
      </c>
      <c r="F17" s="5">
        <v>0</v>
      </c>
      <c r="G17" s="5">
        <v>0</v>
      </c>
      <c r="H17" s="4">
        <f>+E17+I17</f>
        <v>35</v>
      </c>
      <c r="I17" s="110">
        <v>0</v>
      </c>
      <c r="J17" s="101">
        <v>35</v>
      </c>
      <c r="K17" s="4">
        <v>0</v>
      </c>
      <c r="L17" s="14">
        <v>0</v>
      </c>
      <c r="M17" s="4">
        <f>+J17+N17</f>
        <v>35</v>
      </c>
      <c r="N17" s="95">
        <v>0</v>
      </c>
      <c r="O17" s="101">
        <v>35</v>
      </c>
      <c r="P17" s="5">
        <v>0</v>
      </c>
      <c r="Q17" s="5">
        <v>0</v>
      </c>
      <c r="R17" s="4">
        <f>+O17+S17</f>
        <v>35</v>
      </c>
      <c r="S17" s="95">
        <v>0</v>
      </c>
      <c r="T17" s="101">
        <v>33</v>
      </c>
      <c r="U17" s="4">
        <v>1</v>
      </c>
      <c r="V17" s="4"/>
      <c r="W17" s="4">
        <f>+T17+X17</f>
        <v>33</v>
      </c>
      <c r="X17" s="95">
        <v>0</v>
      </c>
      <c r="Y17" s="115">
        <f>+G17+L17+Q17+V17</f>
        <v>0</v>
      </c>
      <c r="Z17" s="13">
        <f>+Y17/(C17+D17)</f>
        <v>0</v>
      </c>
    </row>
    <row r="18" spans="2:26" x14ac:dyDescent="0.3">
      <c r="B18" s="7"/>
      <c r="C18" s="5"/>
      <c r="D18" s="88"/>
      <c r="E18" s="101">
        <v>5</v>
      </c>
      <c r="F18" s="5">
        <v>0</v>
      </c>
      <c r="G18" s="5">
        <v>0</v>
      </c>
      <c r="H18" s="4">
        <f>+E18+I18</f>
        <v>5</v>
      </c>
      <c r="I18" s="110">
        <v>0</v>
      </c>
      <c r="J18" s="101">
        <v>5</v>
      </c>
      <c r="K18" s="4">
        <v>0</v>
      </c>
      <c r="L18" s="14">
        <v>0</v>
      </c>
      <c r="M18" s="4">
        <f>+J18+N18</f>
        <v>5</v>
      </c>
      <c r="N18" s="95">
        <v>0</v>
      </c>
      <c r="O18" s="101">
        <v>0</v>
      </c>
      <c r="P18" s="5">
        <v>0</v>
      </c>
      <c r="Q18" s="5">
        <v>0</v>
      </c>
      <c r="R18" s="4">
        <f>+O18+S18</f>
        <v>0</v>
      </c>
      <c r="S18" s="95">
        <v>0</v>
      </c>
      <c r="T18" s="101"/>
      <c r="U18" s="4"/>
      <c r="V18" s="4"/>
      <c r="W18" s="4">
        <f>+T18+X18</f>
        <v>0</v>
      </c>
      <c r="X18" s="95">
        <v>0</v>
      </c>
      <c r="Y18" s="115">
        <f>+G18+L18+Q18+V18</f>
        <v>0</v>
      </c>
      <c r="Z18" s="13" t="e">
        <f>+Y18/(C18+D18)</f>
        <v>#DIV/0!</v>
      </c>
    </row>
    <row r="19" spans="2:26" ht="12" customHeight="1" thickBot="1" x14ac:dyDescent="0.35">
      <c r="B19" s="18" t="s">
        <v>22</v>
      </c>
      <c r="C19" s="19"/>
      <c r="D19" s="90"/>
      <c r="E19" s="106">
        <f>SUM(E15:E18)</f>
        <v>145</v>
      </c>
      <c r="F19" s="107">
        <f>+F15+F16+F17+F18</f>
        <v>2</v>
      </c>
      <c r="G19" s="107">
        <f t="shared" ref="G19:L19" si="0">SUM(G15:G18)</f>
        <v>0</v>
      </c>
      <c r="H19" s="107">
        <f t="shared" si="0"/>
        <v>145</v>
      </c>
      <c r="I19" s="113">
        <f t="shared" si="0"/>
        <v>0</v>
      </c>
      <c r="J19" s="106">
        <f>SUM(J15:J18)</f>
        <v>142</v>
      </c>
      <c r="K19" s="37">
        <f t="shared" si="0"/>
        <v>2</v>
      </c>
      <c r="L19" s="37">
        <f t="shared" si="0"/>
        <v>0</v>
      </c>
      <c r="M19" s="107">
        <f>SUM(M15:M18)</f>
        <v>142</v>
      </c>
      <c r="N19" s="108">
        <f>SUM(N15:N18)</f>
        <v>0</v>
      </c>
      <c r="O19" s="106"/>
      <c r="P19" s="37">
        <f>SUM(P15:P18)</f>
        <v>1</v>
      </c>
      <c r="Q19" s="37">
        <f>SUM(Q15:Q18)</f>
        <v>0</v>
      </c>
      <c r="R19" s="107"/>
      <c r="S19" s="108"/>
      <c r="T19" s="106"/>
      <c r="U19" s="37">
        <f>SUM(U15:U18)</f>
        <v>3</v>
      </c>
      <c r="V19" s="37">
        <v>0</v>
      </c>
      <c r="W19" s="107"/>
      <c r="X19" s="108"/>
      <c r="Y19" s="116"/>
      <c r="Z19" s="21"/>
    </row>
    <row r="22" spans="2:26" x14ac:dyDescent="0.3">
      <c r="Y22">
        <f>+Y4+Y9+Y12</f>
        <v>61</v>
      </c>
    </row>
  </sheetData>
  <mergeCells count="4">
    <mergeCell ref="E2:I2"/>
    <mergeCell ref="J2:N2"/>
    <mergeCell ref="O2:S2"/>
    <mergeCell ref="T2:X2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CEBF-A571-47E5-8DCF-9F51F4CAD057}">
  <sheetPr>
    <tabColor rgb="FF0070C0"/>
  </sheetPr>
  <dimension ref="B2:AE19"/>
  <sheetViews>
    <sheetView showGridLines="0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8" sqref="K8"/>
    </sheetView>
  </sheetViews>
  <sheetFormatPr baseColWidth="10" defaultColWidth="11.44140625" defaultRowHeight="14.4" x14ac:dyDescent="0.3"/>
  <cols>
    <col min="1" max="1" width="3.109375" customWidth="1"/>
    <col min="2" max="2" width="15.5546875" customWidth="1"/>
    <col min="3" max="3" width="12.33203125" style="2" customWidth="1"/>
    <col min="4" max="5" width="13.5546875" style="2" customWidth="1"/>
    <col min="6" max="7" width="8.6640625" style="2" customWidth="1"/>
    <col min="8" max="10" width="8.6640625" style="1" customWidth="1"/>
    <col min="11" max="12" width="8.6640625" customWidth="1"/>
    <col min="13" max="15" width="8.6640625" style="1" customWidth="1"/>
    <col min="16" max="17" width="8.6640625" customWidth="1"/>
    <col min="18" max="20" width="8.6640625" style="1" customWidth="1"/>
    <col min="21" max="22" width="8.6640625" customWidth="1"/>
    <col min="23" max="25" width="8.6640625" style="1" customWidth="1"/>
    <col min="26" max="27" width="8.6640625" style="2" customWidth="1"/>
    <col min="28" max="29" width="8.6640625" style="1" customWidth="1"/>
    <col min="30" max="30" width="15" customWidth="1"/>
    <col min="31" max="31" width="13" style="1" customWidth="1"/>
  </cols>
  <sheetData>
    <row r="2" spans="2:31" ht="14.4" customHeight="1" x14ac:dyDescent="0.3">
      <c r="B2" s="8" t="s">
        <v>0</v>
      </c>
      <c r="C2" s="2" t="s">
        <v>1</v>
      </c>
      <c r="E2" s="210" t="s">
        <v>27</v>
      </c>
      <c r="F2" s="210"/>
      <c r="G2" s="210"/>
      <c r="H2" s="210"/>
      <c r="I2" s="210"/>
      <c r="J2" s="207" t="s">
        <v>28</v>
      </c>
      <c r="K2" s="207"/>
      <c r="L2" s="207"/>
      <c r="M2" s="207"/>
      <c r="N2" s="207"/>
      <c r="O2" s="209" t="s">
        <v>29</v>
      </c>
      <c r="P2" s="209"/>
      <c r="Q2" s="209"/>
      <c r="R2" s="209"/>
      <c r="S2" s="209"/>
      <c r="T2" s="211" t="s">
        <v>30</v>
      </c>
      <c r="U2" s="211"/>
      <c r="V2" s="211"/>
      <c r="W2" s="211"/>
      <c r="X2" s="211"/>
      <c r="Y2" s="210" t="s">
        <v>31</v>
      </c>
      <c r="Z2" s="210"/>
      <c r="AA2" s="210"/>
      <c r="AB2" s="210"/>
      <c r="AC2" s="210"/>
    </row>
    <row r="3" spans="2:31" ht="38.25" customHeight="1" x14ac:dyDescent="0.3">
      <c r="B3" s="3"/>
      <c r="C3" s="59" t="s">
        <v>2</v>
      </c>
      <c r="D3" s="59" t="s">
        <v>3</v>
      </c>
      <c r="E3" s="30" t="s">
        <v>4</v>
      </c>
      <c r="F3" s="60" t="s">
        <v>5</v>
      </c>
      <c r="G3" s="60" t="s">
        <v>6</v>
      </c>
      <c r="H3" s="6" t="s">
        <v>7</v>
      </c>
      <c r="I3" s="6" t="s">
        <v>8</v>
      </c>
      <c r="J3" s="30" t="s">
        <v>4</v>
      </c>
      <c r="K3" s="11" t="s">
        <v>5</v>
      </c>
      <c r="L3" s="11" t="s">
        <v>9</v>
      </c>
      <c r="M3" s="6" t="s">
        <v>7</v>
      </c>
      <c r="N3" s="6" t="s">
        <v>8</v>
      </c>
      <c r="O3" s="30" t="s">
        <v>4</v>
      </c>
      <c r="P3" s="65" t="s">
        <v>5</v>
      </c>
      <c r="Q3" s="65" t="s">
        <v>9</v>
      </c>
      <c r="R3" s="6" t="s">
        <v>7</v>
      </c>
      <c r="S3" s="6" t="s">
        <v>8</v>
      </c>
      <c r="T3" s="30" t="s">
        <v>4</v>
      </c>
      <c r="U3" s="66" t="s">
        <v>5</v>
      </c>
      <c r="V3" s="66" t="s">
        <v>9</v>
      </c>
      <c r="W3" s="6" t="s">
        <v>7</v>
      </c>
      <c r="X3" s="6" t="s">
        <v>8</v>
      </c>
      <c r="Y3" s="30" t="s">
        <v>4</v>
      </c>
      <c r="Z3" s="60" t="s">
        <v>5</v>
      </c>
      <c r="AA3" s="60" t="s">
        <v>6</v>
      </c>
      <c r="AB3" s="6" t="s">
        <v>7</v>
      </c>
      <c r="AC3" s="6" t="s">
        <v>8</v>
      </c>
      <c r="AD3" s="59" t="s">
        <v>10</v>
      </c>
      <c r="AE3" s="59" t="s">
        <v>11</v>
      </c>
    </row>
    <row r="4" spans="2:31" x14ac:dyDescent="0.3">
      <c r="B4" s="3" t="s">
        <v>12</v>
      </c>
      <c r="C4" s="5">
        <v>50</v>
      </c>
      <c r="D4" s="5">
        <v>6</v>
      </c>
      <c r="E4" s="31">
        <v>255</v>
      </c>
      <c r="F4" s="46">
        <v>12</v>
      </c>
      <c r="G4" s="5">
        <v>8</v>
      </c>
      <c r="H4" s="4">
        <f>+I4+E4</f>
        <v>285</v>
      </c>
      <c r="I4" s="4">
        <v>30</v>
      </c>
      <c r="J4" s="31">
        <v>255</v>
      </c>
      <c r="K4" s="46">
        <v>13</v>
      </c>
      <c r="L4" s="5">
        <v>5</v>
      </c>
      <c r="M4" s="4">
        <f>+N4+J4</f>
        <v>283</v>
      </c>
      <c r="N4" s="4">
        <v>28</v>
      </c>
      <c r="O4" s="31">
        <v>255</v>
      </c>
      <c r="P4" s="5">
        <v>20</v>
      </c>
      <c r="Q4" s="5">
        <v>9</v>
      </c>
      <c r="R4" s="4">
        <f>+S4+O4</f>
        <v>284</v>
      </c>
      <c r="S4" s="4">
        <v>29</v>
      </c>
      <c r="T4" s="31">
        <v>252</v>
      </c>
      <c r="U4" s="5">
        <v>24</v>
      </c>
      <c r="V4" s="5">
        <v>8</v>
      </c>
      <c r="W4" s="4">
        <f>+X4+T4</f>
        <v>285</v>
      </c>
      <c r="X4" s="4">
        <v>33</v>
      </c>
      <c r="Y4" s="31">
        <v>251</v>
      </c>
      <c r="Z4" s="46">
        <v>13</v>
      </c>
      <c r="AA4" s="86">
        <v>11</v>
      </c>
      <c r="AB4" s="4">
        <f>+AC4+Y4</f>
        <v>287</v>
      </c>
      <c r="AC4" s="4">
        <v>36</v>
      </c>
      <c r="AD4" s="4">
        <f>+G4+L4+Q4+V4+AA4</f>
        <v>41</v>
      </c>
      <c r="AE4" s="13">
        <f>+AD4/(C4+D4)</f>
        <v>0.7321428571428571</v>
      </c>
    </row>
    <row r="5" spans="2:31" x14ac:dyDescent="0.3">
      <c r="B5" s="15" t="s">
        <v>13</v>
      </c>
      <c r="C5" s="14">
        <v>2</v>
      </c>
      <c r="D5" s="14"/>
      <c r="E5" s="31">
        <v>31</v>
      </c>
      <c r="F5" s="14">
        <v>0</v>
      </c>
      <c r="G5" s="14">
        <v>0</v>
      </c>
      <c r="H5" s="17">
        <f>+E5+I5</f>
        <v>32</v>
      </c>
      <c r="I5" s="17">
        <v>1</v>
      </c>
      <c r="J5" s="31">
        <v>32</v>
      </c>
      <c r="K5" s="14">
        <v>0</v>
      </c>
      <c r="L5" s="14">
        <v>0</v>
      </c>
      <c r="M5" s="17">
        <f>+J5+N5</f>
        <v>33</v>
      </c>
      <c r="N5" s="17">
        <v>1</v>
      </c>
      <c r="O5" s="31">
        <v>31</v>
      </c>
      <c r="P5" s="14">
        <v>0</v>
      </c>
      <c r="Q5" s="14">
        <v>0</v>
      </c>
      <c r="R5" s="17">
        <f>+O5+S5</f>
        <v>32</v>
      </c>
      <c r="S5" s="17">
        <v>1</v>
      </c>
      <c r="T5" s="31">
        <v>33</v>
      </c>
      <c r="U5" s="4">
        <v>0</v>
      </c>
      <c r="V5" s="14">
        <v>0</v>
      </c>
      <c r="W5" s="17">
        <f>+T5+X5</f>
        <v>33</v>
      </c>
      <c r="X5" s="17">
        <v>0</v>
      </c>
      <c r="Y5" s="31">
        <v>33</v>
      </c>
      <c r="Z5" s="14"/>
      <c r="AA5" s="14"/>
      <c r="AB5" s="17">
        <f>+Y5+AC5</f>
        <v>34</v>
      </c>
      <c r="AC5" s="17">
        <v>1</v>
      </c>
      <c r="AD5" s="4">
        <f>+G5+L5+Q5+V5+AA5</f>
        <v>0</v>
      </c>
      <c r="AE5" s="13">
        <f>+AD5/(C5+D5)</f>
        <v>0</v>
      </c>
    </row>
    <row r="6" spans="2:31" ht="18.75" customHeight="1" x14ac:dyDescent="0.3">
      <c r="B6" s="18" t="s">
        <v>14</v>
      </c>
      <c r="C6" s="19"/>
      <c r="D6" s="19"/>
      <c r="E6" s="10">
        <f>E4+E5</f>
        <v>286</v>
      </c>
      <c r="F6" s="4">
        <f>+F4+F5</f>
        <v>12</v>
      </c>
      <c r="G6" s="4">
        <f>G4+G5</f>
        <v>8</v>
      </c>
      <c r="H6" s="5">
        <f>+H4+H5</f>
        <v>317</v>
      </c>
      <c r="I6" s="5">
        <f>+I4+I5</f>
        <v>31</v>
      </c>
      <c r="J6" s="10">
        <f>+J4+J5</f>
        <v>287</v>
      </c>
      <c r="K6" s="4">
        <f>SUM(K4:K5)</f>
        <v>13</v>
      </c>
      <c r="L6" s="4">
        <f>SUM(L4:L5)</f>
        <v>5</v>
      </c>
      <c r="M6" s="5">
        <f>+M4+M5</f>
        <v>316</v>
      </c>
      <c r="N6" s="5">
        <f>+N4+N5</f>
        <v>29</v>
      </c>
      <c r="O6" s="10">
        <f>+O4+O5</f>
        <v>286</v>
      </c>
      <c r="P6" s="4">
        <f>SUM(P4:P5)</f>
        <v>20</v>
      </c>
      <c r="Q6" s="4">
        <f>SUM(Q4:Q5)</f>
        <v>9</v>
      </c>
      <c r="R6" s="5">
        <f>+R4+R5</f>
        <v>316</v>
      </c>
      <c r="S6" s="5">
        <f>+S4+S5</f>
        <v>30</v>
      </c>
      <c r="T6" s="10">
        <f>+T4+T5</f>
        <v>285</v>
      </c>
      <c r="U6" s="4">
        <f>SUM(U4:U5)</f>
        <v>24</v>
      </c>
      <c r="V6" s="4">
        <f>+V4+V5</f>
        <v>8</v>
      </c>
      <c r="W6" s="5">
        <f>+W4+W5</f>
        <v>318</v>
      </c>
      <c r="X6" s="5">
        <f>+X4+X5</f>
        <v>33</v>
      </c>
      <c r="Y6" s="10">
        <f>Y4+Y5</f>
        <v>284</v>
      </c>
      <c r="Z6" s="4">
        <f>+Z4+Z5</f>
        <v>13</v>
      </c>
      <c r="AA6" s="4">
        <f>AA4+AA5</f>
        <v>11</v>
      </c>
      <c r="AB6" s="5">
        <f>+AB4+AB5</f>
        <v>321</v>
      </c>
      <c r="AC6" s="5">
        <f>+AC4+AC5</f>
        <v>37</v>
      </c>
      <c r="AD6" s="20"/>
      <c r="AE6" s="21"/>
    </row>
    <row r="7" spans="2:31" ht="12" customHeight="1" x14ac:dyDescent="0.3">
      <c r="H7" s="2"/>
      <c r="I7" s="2"/>
      <c r="J7" s="2"/>
      <c r="M7" s="2"/>
      <c r="N7" s="2"/>
      <c r="O7" s="2"/>
      <c r="R7" s="2"/>
      <c r="S7" s="2"/>
      <c r="T7" s="2"/>
      <c r="W7" s="2"/>
      <c r="X7" s="2"/>
      <c r="Y7" s="2"/>
      <c r="AB7" s="2"/>
      <c r="AC7" s="2"/>
      <c r="AD7" s="12"/>
    </row>
    <row r="8" spans="2:31" ht="33.75" customHeight="1" x14ac:dyDescent="0.3">
      <c r="B8" s="3"/>
      <c r="C8" s="59" t="s">
        <v>2</v>
      </c>
      <c r="D8" s="59" t="s">
        <v>3</v>
      </c>
      <c r="E8" s="30" t="s">
        <v>4</v>
      </c>
      <c r="F8" s="60" t="s">
        <v>5</v>
      </c>
      <c r="G8" s="60" t="s">
        <v>6</v>
      </c>
      <c r="H8" s="6" t="s">
        <v>7</v>
      </c>
      <c r="I8" s="6" t="s">
        <v>8</v>
      </c>
      <c r="J8" s="30" t="s">
        <v>4</v>
      </c>
      <c r="K8" s="11" t="s">
        <v>5</v>
      </c>
      <c r="L8" s="11" t="s">
        <v>9</v>
      </c>
      <c r="M8" s="6" t="s">
        <v>7</v>
      </c>
      <c r="N8" s="6" t="s">
        <v>8</v>
      </c>
      <c r="O8" s="30" t="s">
        <v>4</v>
      </c>
      <c r="P8" s="65" t="s">
        <v>15</v>
      </c>
      <c r="Q8" s="65" t="s">
        <v>16</v>
      </c>
      <c r="R8" s="6" t="s">
        <v>7</v>
      </c>
      <c r="S8" s="6" t="s">
        <v>8</v>
      </c>
      <c r="T8" s="30" t="s">
        <v>4</v>
      </c>
      <c r="U8" s="66" t="s">
        <v>5</v>
      </c>
      <c r="V8" s="66" t="s">
        <v>9</v>
      </c>
      <c r="W8" s="6" t="s">
        <v>7</v>
      </c>
      <c r="X8" s="6" t="s">
        <v>8</v>
      </c>
      <c r="Y8" s="30" t="s">
        <v>4</v>
      </c>
      <c r="Z8" s="60" t="s">
        <v>5</v>
      </c>
      <c r="AA8" s="60" t="s">
        <v>6</v>
      </c>
      <c r="AB8" s="6" t="s">
        <v>7</v>
      </c>
      <c r="AC8" s="6" t="s">
        <v>8</v>
      </c>
      <c r="AD8" s="59" t="s">
        <v>10</v>
      </c>
      <c r="AE8" s="59" t="s">
        <v>11</v>
      </c>
    </row>
    <row r="9" spans="2:31" x14ac:dyDescent="0.3">
      <c r="B9" s="3" t="s">
        <v>17</v>
      </c>
      <c r="C9" s="5">
        <v>9</v>
      </c>
      <c r="D9" s="5">
        <v>1</v>
      </c>
      <c r="E9" s="47">
        <v>145</v>
      </c>
      <c r="F9" s="5">
        <v>5</v>
      </c>
      <c r="G9" s="5">
        <v>2</v>
      </c>
      <c r="H9" s="4">
        <f>+E9+I9</f>
        <v>154</v>
      </c>
      <c r="I9" s="4">
        <v>9</v>
      </c>
      <c r="J9" s="47">
        <v>139</v>
      </c>
      <c r="K9" s="5">
        <v>6</v>
      </c>
      <c r="L9" s="5">
        <v>4</v>
      </c>
      <c r="M9" s="4">
        <f>N9+J9</f>
        <v>153</v>
      </c>
      <c r="N9" s="4">
        <v>14</v>
      </c>
      <c r="O9" s="47">
        <v>140</v>
      </c>
      <c r="P9" s="5">
        <v>4</v>
      </c>
      <c r="Q9" s="5">
        <v>1</v>
      </c>
      <c r="R9" s="4">
        <f>+O9+S9</f>
        <v>157</v>
      </c>
      <c r="S9" s="4">
        <v>17</v>
      </c>
      <c r="T9" s="47">
        <v>142</v>
      </c>
      <c r="U9" s="5">
        <v>4</v>
      </c>
      <c r="V9" s="5">
        <v>6</v>
      </c>
      <c r="W9" s="4">
        <f>+T9+X9</f>
        <v>166</v>
      </c>
      <c r="X9" s="4">
        <v>24</v>
      </c>
      <c r="Y9" s="47">
        <v>147</v>
      </c>
      <c r="Z9" s="5">
        <v>9</v>
      </c>
      <c r="AA9" s="5">
        <v>6</v>
      </c>
      <c r="AB9" s="4">
        <f>+Y9+AC9</f>
        <v>164</v>
      </c>
      <c r="AC9" s="4">
        <v>17</v>
      </c>
      <c r="AD9" s="4">
        <f>+G9+L9+Q9+V9+AA9</f>
        <v>19</v>
      </c>
      <c r="AE9" s="13">
        <f>+AD9/(C9+D9)</f>
        <v>1.9</v>
      </c>
    </row>
    <row r="10" spans="2:31" x14ac:dyDescent="0.3">
      <c r="E10" s="1"/>
    </row>
    <row r="11" spans="2:31" ht="38.25" customHeight="1" x14ac:dyDescent="0.3">
      <c r="B11" s="15"/>
      <c r="C11" s="62" t="s">
        <v>2</v>
      </c>
      <c r="D11" s="62" t="s">
        <v>3</v>
      </c>
      <c r="E11" s="68" t="s">
        <v>4</v>
      </c>
      <c r="F11" s="63" t="s">
        <v>5</v>
      </c>
      <c r="G11" s="63" t="s">
        <v>6</v>
      </c>
      <c r="H11" s="61" t="s">
        <v>7</v>
      </c>
      <c r="I11" s="61" t="s">
        <v>8</v>
      </c>
      <c r="J11" s="68" t="s">
        <v>4</v>
      </c>
      <c r="K11" s="64" t="s">
        <v>5</v>
      </c>
      <c r="L11" s="11" t="s">
        <v>9</v>
      </c>
      <c r="M11" s="61" t="s">
        <v>7</v>
      </c>
      <c r="N11" s="61" t="s">
        <v>8</v>
      </c>
      <c r="O11" s="68" t="s">
        <v>4</v>
      </c>
      <c r="P11" s="65" t="s">
        <v>15</v>
      </c>
      <c r="Q11" s="65" t="s">
        <v>16</v>
      </c>
      <c r="R11" s="61" t="s">
        <v>7</v>
      </c>
      <c r="S11" s="61" t="s">
        <v>8</v>
      </c>
      <c r="T11" s="68" t="s">
        <v>4</v>
      </c>
      <c r="U11" s="66" t="s">
        <v>5</v>
      </c>
      <c r="V11" s="66" t="s">
        <v>9</v>
      </c>
      <c r="W11" s="61" t="s">
        <v>7</v>
      </c>
      <c r="X11" s="61" t="s">
        <v>8</v>
      </c>
      <c r="Y11" s="68" t="s">
        <v>4</v>
      </c>
      <c r="Z11" s="63" t="s">
        <v>5</v>
      </c>
      <c r="AA11" s="63" t="s">
        <v>6</v>
      </c>
      <c r="AB11" s="61" t="s">
        <v>7</v>
      </c>
      <c r="AC11" s="61" t="s">
        <v>8</v>
      </c>
      <c r="AD11" s="62" t="s">
        <v>10</v>
      </c>
      <c r="AE11" s="62" t="s">
        <v>11</v>
      </c>
    </row>
    <row r="12" spans="2:31" x14ac:dyDescent="0.3">
      <c r="B12" s="3" t="s">
        <v>18</v>
      </c>
      <c r="C12" s="5">
        <v>16</v>
      </c>
      <c r="D12" s="5"/>
      <c r="E12" s="47">
        <v>274</v>
      </c>
      <c r="F12" s="5">
        <v>15</v>
      </c>
      <c r="G12" s="5">
        <v>7</v>
      </c>
      <c r="H12" s="4">
        <f>+E12+I12</f>
        <v>330</v>
      </c>
      <c r="I12" s="4">
        <v>56</v>
      </c>
      <c r="J12" s="47">
        <v>271</v>
      </c>
      <c r="K12" s="5">
        <v>20</v>
      </c>
      <c r="L12" s="5">
        <v>9</v>
      </c>
      <c r="M12" s="4">
        <f>+J12+N12</f>
        <v>323</v>
      </c>
      <c r="N12" s="4">
        <v>52</v>
      </c>
      <c r="O12" s="47">
        <v>310</v>
      </c>
      <c r="P12" s="5">
        <v>20</v>
      </c>
      <c r="Q12" s="5">
        <v>9</v>
      </c>
      <c r="R12" s="4">
        <f>+O12+S12</f>
        <v>330</v>
      </c>
      <c r="S12" s="4">
        <v>20</v>
      </c>
      <c r="T12" s="47">
        <v>271</v>
      </c>
      <c r="U12" s="5">
        <v>27</v>
      </c>
      <c r="V12" s="5">
        <v>8</v>
      </c>
      <c r="W12" s="4">
        <f>+T12+X12</f>
        <v>313</v>
      </c>
      <c r="X12" s="4">
        <v>42</v>
      </c>
      <c r="Y12" s="47">
        <v>269</v>
      </c>
      <c r="Z12" s="5">
        <v>16</v>
      </c>
      <c r="AA12" s="5">
        <v>8</v>
      </c>
      <c r="AB12" s="4">
        <f>+Y12+AC12</f>
        <v>315</v>
      </c>
      <c r="AC12" s="4">
        <v>46</v>
      </c>
      <c r="AD12" s="4">
        <f>+G12+L12+Q12+V12+AA12</f>
        <v>41</v>
      </c>
      <c r="AE12" s="13">
        <f>+AD12/(C12+D12)</f>
        <v>2.5625</v>
      </c>
    </row>
    <row r="13" spans="2:31" ht="12" customHeight="1" x14ac:dyDescent="0.3">
      <c r="E13" s="1"/>
    </row>
    <row r="14" spans="2:31" ht="34.5" customHeight="1" x14ac:dyDescent="0.3">
      <c r="B14" s="9" t="s">
        <v>19</v>
      </c>
      <c r="C14" s="59" t="s">
        <v>2</v>
      </c>
      <c r="D14" s="59" t="s">
        <v>3</v>
      </c>
      <c r="E14" s="30" t="s">
        <v>4</v>
      </c>
      <c r="F14" s="60" t="s">
        <v>5</v>
      </c>
      <c r="G14" s="60" t="s">
        <v>6</v>
      </c>
      <c r="H14" s="6" t="s">
        <v>7</v>
      </c>
      <c r="I14" s="6" t="s">
        <v>8</v>
      </c>
      <c r="J14" s="30" t="s">
        <v>4</v>
      </c>
      <c r="K14" s="11" t="s">
        <v>5</v>
      </c>
      <c r="L14" s="11" t="s">
        <v>9</v>
      </c>
      <c r="M14" s="6" t="s">
        <v>7</v>
      </c>
      <c r="N14" s="6" t="s">
        <v>8</v>
      </c>
      <c r="O14" s="30" t="s">
        <v>4</v>
      </c>
      <c r="P14" s="65" t="s">
        <v>15</v>
      </c>
      <c r="Q14" s="65" t="s">
        <v>16</v>
      </c>
      <c r="R14" s="6" t="s">
        <v>7</v>
      </c>
      <c r="S14" s="6" t="s">
        <v>8</v>
      </c>
      <c r="T14" s="30" t="s">
        <v>4</v>
      </c>
      <c r="U14" s="66" t="s">
        <v>5</v>
      </c>
      <c r="V14" s="66" t="s">
        <v>9</v>
      </c>
      <c r="W14" s="6" t="s">
        <v>7</v>
      </c>
      <c r="X14" s="6" t="s">
        <v>8</v>
      </c>
      <c r="Y14" s="30" t="s">
        <v>4</v>
      </c>
      <c r="Z14" s="60" t="s">
        <v>5</v>
      </c>
      <c r="AA14" s="60" t="s">
        <v>6</v>
      </c>
      <c r="AB14" s="6" t="s">
        <v>7</v>
      </c>
      <c r="AC14" s="6" t="s">
        <v>8</v>
      </c>
      <c r="AD14" s="59" t="s">
        <v>10</v>
      </c>
      <c r="AE14" s="59" t="s">
        <v>11</v>
      </c>
    </row>
    <row r="15" spans="2:31" x14ac:dyDescent="0.3">
      <c r="B15" s="7" t="s">
        <v>20</v>
      </c>
      <c r="C15" s="5">
        <v>2</v>
      </c>
      <c r="D15" s="5"/>
      <c r="E15" s="47">
        <v>75</v>
      </c>
      <c r="F15" s="5"/>
      <c r="G15" s="5"/>
      <c r="H15" s="4">
        <f>+E15+I15</f>
        <v>75</v>
      </c>
      <c r="I15" s="4">
        <v>0</v>
      </c>
      <c r="J15" s="47">
        <v>76</v>
      </c>
      <c r="K15" s="14">
        <v>0</v>
      </c>
      <c r="L15" s="14">
        <v>0</v>
      </c>
      <c r="M15" s="4">
        <f>+J15+N15</f>
        <v>76</v>
      </c>
      <c r="N15" s="4">
        <v>0</v>
      </c>
      <c r="O15" s="47">
        <v>79</v>
      </c>
      <c r="P15" s="5">
        <v>0</v>
      </c>
      <c r="Q15" s="5">
        <v>0</v>
      </c>
      <c r="R15" s="4">
        <f>+O15+S15</f>
        <v>79</v>
      </c>
      <c r="S15" s="4">
        <v>0</v>
      </c>
      <c r="T15" s="47">
        <v>80</v>
      </c>
      <c r="U15" s="5">
        <v>0</v>
      </c>
      <c r="V15" s="5"/>
      <c r="W15" s="4">
        <f>+T15+X15</f>
        <v>80</v>
      </c>
      <c r="X15" s="4">
        <v>0</v>
      </c>
      <c r="Y15" s="47">
        <v>79</v>
      </c>
      <c r="Z15" s="5">
        <v>3</v>
      </c>
      <c r="AA15" s="5">
        <v>1</v>
      </c>
      <c r="AB15" s="4">
        <f>+Y15+AC15</f>
        <v>79</v>
      </c>
      <c r="AC15" s="4">
        <v>0</v>
      </c>
      <c r="AD15" s="4">
        <f>+G15+L15+Q15+V15+AA15</f>
        <v>1</v>
      </c>
      <c r="AE15" s="13">
        <f>+AD15/(C15+D15)</f>
        <v>0.5</v>
      </c>
    </row>
    <row r="16" spans="2:31" x14ac:dyDescent="0.3">
      <c r="B16" s="7" t="s">
        <v>32</v>
      </c>
      <c r="C16" s="5">
        <v>2</v>
      </c>
      <c r="D16" s="5"/>
      <c r="E16" s="47">
        <v>28</v>
      </c>
      <c r="F16" s="5">
        <v>0</v>
      </c>
      <c r="G16" s="5">
        <v>0</v>
      </c>
      <c r="H16" s="4">
        <f>+E16+I16</f>
        <v>28</v>
      </c>
      <c r="I16" s="4">
        <v>0</v>
      </c>
      <c r="J16" s="47">
        <v>27</v>
      </c>
      <c r="K16" s="4"/>
      <c r="L16" s="14"/>
      <c r="M16" s="4">
        <f>+J16+N16</f>
        <v>27</v>
      </c>
      <c r="N16" s="4">
        <v>0</v>
      </c>
      <c r="O16" s="47">
        <v>27</v>
      </c>
      <c r="P16" s="5">
        <v>0</v>
      </c>
      <c r="Q16" s="5">
        <v>0</v>
      </c>
      <c r="R16" s="4">
        <f>+O16+S16</f>
        <v>27</v>
      </c>
      <c r="S16" s="4">
        <v>0</v>
      </c>
      <c r="T16" s="47">
        <v>27</v>
      </c>
      <c r="U16" s="4">
        <v>0</v>
      </c>
      <c r="V16" s="4"/>
      <c r="W16" s="4">
        <f>+T16+X16</f>
        <v>27</v>
      </c>
      <c r="X16" s="4">
        <v>0</v>
      </c>
      <c r="Y16" s="47">
        <v>28</v>
      </c>
      <c r="Z16" s="5">
        <v>0</v>
      </c>
      <c r="AA16" s="5">
        <v>0</v>
      </c>
      <c r="AB16" s="4">
        <f>+Y16+AC16</f>
        <v>28</v>
      </c>
      <c r="AC16" s="4">
        <v>0</v>
      </c>
      <c r="AD16" s="4">
        <f>+G16+L16+Q16+V16+AA16</f>
        <v>0</v>
      </c>
      <c r="AE16" s="13">
        <f>+AD16/(C16+D16)</f>
        <v>0</v>
      </c>
    </row>
    <row r="17" spans="2:31" x14ac:dyDescent="0.3">
      <c r="B17" s="7" t="s">
        <v>21</v>
      </c>
      <c r="C17" s="5">
        <v>2</v>
      </c>
      <c r="D17" s="5"/>
      <c r="E17" s="47">
        <v>34</v>
      </c>
      <c r="F17" s="5">
        <v>0</v>
      </c>
      <c r="G17" s="5">
        <v>0</v>
      </c>
      <c r="H17" s="4">
        <f>+E17+I17</f>
        <v>34</v>
      </c>
      <c r="I17" s="4">
        <v>0</v>
      </c>
      <c r="J17" s="47">
        <v>34</v>
      </c>
      <c r="K17" s="4">
        <v>0</v>
      </c>
      <c r="L17" s="14">
        <v>0</v>
      </c>
      <c r="M17" s="4">
        <f>+J17+N17</f>
        <v>34</v>
      </c>
      <c r="N17" s="4">
        <v>0</v>
      </c>
      <c r="O17" s="47">
        <v>35</v>
      </c>
      <c r="P17" s="5">
        <v>0</v>
      </c>
      <c r="Q17" s="5">
        <v>0</v>
      </c>
      <c r="R17" s="4">
        <f>+O17+S17</f>
        <v>35</v>
      </c>
      <c r="S17" s="4">
        <v>0</v>
      </c>
      <c r="T17" s="47">
        <v>33</v>
      </c>
      <c r="U17" s="4">
        <v>2</v>
      </c>
      <c r="V17" s="4">
        <v>1</v>
      </c>
      <c r="W17" s="4">
        <f>+T17+X17</f>
        <v>33</v>
      </c>
      <c r="X17" s="4">
        <v>0</v>
      </c>
      <c r="Y17" s="47">
        <v>34</v>
      </c>
      <c r="Z17" s="5">
        <v>0</v>
      </c>
      <c r="AA17" s="5">
        <v>0</v>
      </c>
      <c r="AB17" s="4">
        <f>+Y17+AC17</f>
        <v>34</v>
      </c>
      <c r="AC17" s="4">
        <v>0</v>
      </c>
      <c r="AD17" s="4">
        <f>+G17+L17+Q17+V17+AA17</f>
        <v>1</v>
      </c>
      <c r="AE17" s="13">
        <f>+AD17/(C17+D17)</f>
        <v>0.5</v>
      </c>
    </row>
    <row r="18" spans="2:31" x14ac:dyDescent="0.3">
      <c r="B18" s="7" t="s">
        <v>33</v>
      </c>
      <c r="C18" s="5">
        <v>2</v>
      </c>
      <c r="D18" s="5"/>
      <c r="E18" s="47">
        <v>5</v>
      </c>
      <c r="F18" s="5">
        <v>0</v>
      </c>
      <c r="G18" s="5">
        <v>0</v>
      </c>
      <c r="H18" s="4">
        <f>+E18+I18</f>
        <v>5</v>
      </c>
      <c r="I18" s="4">
        <v>0</v>
      </c>
      <c r="J18" s="47">
        <v>5</v>
      </c>
      <c r="K18" s="4">
        <v>0</v>
      </c>
      <c r="L18" s="14">
        <v>0</v>
      </c>
      <c r="M18" s="4">
        <f>+J18+N18</f>
        <v>5</v>
      </c>
      <c r="N18" s="4">
        <v>0</v>
      </c>
      <c r="O18" s="47">
        <v>5</v>
      </c>
      <c r="P18" s="5">
        <v>0</v>
      </c>
      <c r="Q18" s="5">
        <v>0</v>
      </c>
      <c r="R18" s="4">
        <f>+O18+S18</f>
        <v>5</v>
      </c>
      <c r="S18" s="4">
        <v>0</v>
      </c>
      <c r="T18" s="47">
        <v>5</v>
      </c>
      <c r="U18" s="4">
        <v>0</v>
      </c>
      <c r="V18" s="4"/>
      <c r="W18" s="4">
        <f>+T18+X18</f>
        <v>5</v>
      </c>
      <c r="X18" s="4">
        <v>0</v>
      </c>
      <c r="Y18" s="47">
        <v>5</v>
      </c>
      <c r="Z18" s="5">
        <v>0</v>
      </c>
      <c r="AA18" s="5">
        <v>0</v>
      </c>
      <c r="AB18" s="4">
        <f>+Y18+AC18</f>
        <v>5</v>
      </c>
      <c r="AC18" s="4">
        <v>0</v>
      </c>
      <c r="AD18" s="4">
        <f>+G18+L18+Q18+V18+AA18</f>
        <v>0</v>
      </c>
      <c r="AE18" s="13">
        <f>+AD18/(C18+D18)</f>
        <v>0</v>
      </c>
    </row>
    <row r="19" spans="2:31" ht="12" customHeight="1" x14ac:dyDescent="0.3">
      <c r="B19" s="18" t="s">
        <v>22</v>
      </c>
      <c r="C19" s="19"/>
      <c r="D19" s="19"/>
      <c r="E19" s="19">
        <f>SUM(E15:E18)</f>
        <v>142</v>
      </c>
      <c r="F19" s="19">
        <f>+F15+F16+F17+F18</f>
        <v>0</v>
      </c>
      <c r="G19" s="19">
        <f t="shared" ref="G19:L19" si="0">SUM(G15:G18)</f>
        <v>0</v>
      </c>
      <c r="H19" s="19">
        <f t="shared" si="0"/>
        <v>142</v>
      </c>
      <c r="I19" s="19">
        <f t="shared" si="0"/>
        <v>0</v>
      </c>
      <c r="J19" s="19"/>
      <c r="K19" s="21">
        <f t="shared" si="0"/>
        <v>0</v>
      </c>
      <c r="L19" s="21">
        <f t="shared" si="0"/>
        <v>0</v>
      </c>
      <c r="M19" s="19"/>
      <c r="N19" s="19"/>
      <c r="O19" s="19"/>
      <c r="P19" s="21">
        <f>SUM(P15:P18)</f>
        <v>0</v>
      </c>
      <c r="Q19" s="21">
        <f>SUM(Q15:Q18)</f>
        <v>0</v>
      </c>
      <c r="R19" s="19"/>
      <c r="S19" s="19"/>
      <c r="T19" s="19"/>
      <c r="U19" s="21">
        <f>SUM(U15:U18)</f>
        <v>2</v>
      </c>
      <c r="V19" s="21">
        <v>0</v>
      </c>
      <c r="W19" s="19"/>
      <c r="X19" s="19"/>
      <c r="Y19" s="19">
        <f>SUM(Y15:Y18)</f>
        <v>146</v>
      </c>
      <c r="Z19" s="19">
        <f>+Z15+Z16+Z17+Z18</f>
        <v>3</v>
      </c>
      <c r="AA19" s="19">
        <f t="shared" ref="AA19:AC19" si="1">SUM(AA15:AA18)</f>
        <v>1</v>
      </c>
      <c r="AB19" s="19">
        <f t="shared" si="1"/>
        <v>146</v>
      </c>
      <c r="AC19" s="19">
        <f t="shared" si="1"/>
        <v>0</v>
      </c>
      <c r="AD19" s="20"/>
      <c r="AE19" s="21"/>
    </row>
  </sheetData>
  <mergeCells count="5">
    <mergeCell ref="E2:I2"/>
    <mergeCell ref="J2:N2"/>
    <mergeCell ref="O2:S2"/>
    <mergeCell ref="T2:X2"/>
    <mergeCell ref="Y2:AC2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D928F-3475-4063-8392-B091ABCA03BC}">
  <sheetPr>
    <tabColor rgb="FFFFFF00"/>
  </sheetPr>
  <dimension ref="B2:Z19"/>
  <sheetViews>
    <sheetView showGridLines="0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Y1" sqref="Y1:Y1048576"/>
    </sheetView>
  </sheetViews>
  <sheetFormatPr baseColWidth="10" defaultColWidth="11.44140625" defaultRowHeight="14.4" x14ac:dyDescent="0.3"/>
  <cols>
    <col min="1" max="1" width="3.109375" customWidth="1"/>
    <col min="2" max="2" width="15.5546875" customWidth="1"/>
    <col min="3" max="3" width="12.33203125" style="2" customWidth="1"/>
    <col min="4" max="5" width="13.5546875" style="2" customWidth="1"/>
    <col min="6" max="7" width="8.6640625" style="2" customWidth="1"/>
    <col min="8" max="10" width="8.6640625" style="1" customWidth="1"/>
    <col min="11" max="12" width="8.6640625" customWidth="1"/>
    <col min="13" max="15" width="8.6640625" style="1" customWidth="1"/>
    <col min="16" max="17" width="8.6640625" customWidth="1"/>
    <col min="18" max="20" width="8.6640625" style="1" customWidth="1"/>
    <col min="21" max="22" width="8.6640625" customWidth="1"/>
    <col min="23" max="24" width="8.6640625" style="1" customWidth="1"/>
    <col min="25" max="25" width="12.88671875" customWidth="1"/>
    <col min="26" max="26" width="13" style="1" customWidth="1"/>
  </cols>
  <sheetData>
    <row r="2" spans="2:26" ht="14.4" customHeight="1" x14ac:dyDescent="0.3">
      <c r="B2" s="8" t="s">
        <v>0</v>
      </c>
      <c r="C2" s="2" t="s">
        <v>1</v>
      </c>
      <c r="E2" s="210" t="s">
        <v>34</v>
      </c>
      <c r="F2" s="210"/>
      <c r="G2" s="210"/>
      <c r="H2" s="210"/>
      <c r="I2" s="210"/>
      <c r="J2" s="205" t="s">
        <v>35</v>
      </c>
      <c r="K2" s="205"/>
      <c r="L2" s="205"/>
      <c r="M2" s="205"/>
      <c r="N2" s="205"/>
      <c r="O2" s="208" t="s">
        <v>36</v>
      </c>
      <c r="P2" s="208"/>
      <c r="Q2" s="208"/>
      <c r="R2" s="208"/>
      <c r="S2" s="208"/>
      <c r="T2" s="211" t="s">
        <v>37</v>
      </c>
      <c r="U2" s="211"/>
      <c r="V2" s="211"/>
      <c r="W2" s="211"/>
      <c r="X2" s="211"/>
    </row>
    <row r="3" spans="2:26" ht="38.25" customHeight="1" x14ac:dyDescent="0.3">
      <c r="B3" s="3"/>
      <c r="C3" s="59" t="s">
        <v>2</v>
      </c>
      <c r="D3" s="59" t="s">
        <v>3</v>
      </c>
      <c r="E3" s="30" t="s">
        <v>4</v>
      </c>
      <c r="F3" s="60" t="s">
        <v>5</v>
      </c>
      <c r="G3" s="60" t="s">
        <v>6</v>
      </c>
      <c r="H3" s="6" t="s">
        <v>7</v>
      </c>
      <c r="I3" s="6" t="s">
        <v>8</v>
      </c>
      <c r="J3" s="30" t="s">
        <v>4</v>
      </c>
      <c r="K3" s="11" t="s">
        <v>5</v>
      </c>
      <c r="L3" s="11" t="s">
        <v>9</v>
      </c>
      <c r="M3" s="6" t="s">
        <v>7</v>
      </c>
      <c r="N3" s="6" t="s">
        <v>8</v>
      </c>
      <c r="O3" s="30" t="s">
        <v>4</v>
      </c>
      <c r="P3" s="65" t="s">
        <v>5</v>
      </c>
      <c r="Q3" s="65" t="s">
        <v>9</v>
      </c>
      <c r="R3" s="6" t="s">
        <v>7</v>
      </c>
      <c r="S3" s="6" t="s">
        <v>8</v>
      </c>
      <c r="T3" s="30" t="s">
        <v>4</v>
      </c>
      <c r="U3" s="66" t="s">
        <v>5</v>
      </c>
      <c r="V3" s="66" t="s">
        <v>9</v>
      </c>
      <c r="W3" s="6" t="s">
        <v>7</v>
      </c>
      <c r="X3" s="6" t="s">
        <v>8</v>
      </c>
      <c r="Y3" s="59" t="s">
        <v>10</v>
      </c>
      <c r="Z3" s="59" t="s">
        <v>11</v>
      </c>
    </row>
    <row r="4" spans="2:26" x14ac:dyDescent="0.3">
      <c r="B4" s="3" t="s">
        <v>12</v>
      </c>
      <c r="C4" s="5">
        <v>46</v>
      </c>
      <c r="D4" s="5"/>
      <c r="E4" s="31">
        <v>259</v>
      </c>
      <c r="F4" s="46">
        <v>10</v>
      </c>
      <c r="G4" s="5">
        <v>6</v>
      </c>
      <c r="H4" s="4">
        <f>+I4+E4</f>
        <v>290</v>
      </c>
      <c r="I4" s="4">
        <v>31</v>
      </c>
      <c r="J4" s="31">
        <v>255</v>
      </c>
      <c r="K4" s="46">
        <v>14</v>
      </c>
      <c r="L4" s="5">
        <v>3</v>
      </c>
      <c r="M4" s="4">
        <f>+N4+J4</f>
        <v>287</v>
      </c>
      <c r="N4" s="4">
        <v>32</v>
      </c>
      <c r="O4" s="31">
        <v>246</v>
      </c>
      <c r="P4" s="5">
        <v>19</v>
      </c>
      <c r="Q4" s="5">
        <v>7</v>
      </c>
      <c r="R4" s="4">
        <f>+S4+O4</f>
        <v>275</v>
      </c>
      <c r="S4" s="4">
        <v>29</v>
      </c>
      <c r="T4" s="31">
        <v>254</v>
      </c>
      <c r="U4" s="5">
        <v>13</v>
      </c>
      <c r="V4" s="5">
        <v>6</v>
      </c>
      <c r="W4" s="4">
        <f>+X4+T4</f>
        <v>282</v>
      </c>
      <c r="X4" s="4">
        <v>28</v>
      </c>
      <c r="Y4" s="4">
        <f>+G4+L4+Q4+V4</f>
        <v>22</v>
      </c>
      <c r="Z4" s="13">
        <f>+Y4/(C4+D4)</f>
        <v>0.47826086956521741</v>
      </c>
    </row>
    <row r="5" spans="2:26" x14ac:dyDescent="0.3">
      <c r="B5" s="15" t="s">
        <v>13</v>
      </c>
      <c r="C5" s="14">
        <v>10</v>
      </c>
      <c r="D5" s="14"/>
      <c r="E5" s="31">
        <v>18</v>
      </c>
      <c r="F5" s="14">
        <v>0</v>
      </c>
      <c r="G5" s="14">
        <v>0</v>
      </c>
      <c r="H5" s="17">
        <f>+E5+I5</f>
        <v>19</v>
      </c>
      <c r="I5" s="17">
        <v>1</v>
      </c>
      <c r="J5" s="31">
        <v>19</v>
      </c>
      <c r="K5" s="14">
        <v>0</v>
      </c>
      <c r="L5" s="14">
        <v>0</v>
      </c>
      <c r="M5" s="17">
        <f>+J5+N5</f>
        <v>19</v>
      </c>
      <c r="N5" s="17">
        <v>0</v>
      </c>
      <c r="O5" s="31">
        <v>26</v>
      </c>
      <c r="P5" s="14"/>
      <c r="Q5" s="14"/>
      <c r="R5" s="17">
        <f>+O5+S5</f>
        <v>26</v>
      </c>
      <c r="S5" s="17">
        <v>0</v>
      </c>
      <c r="T5" s="31">
        <v>25</v>
      </c>
      <c r="U5" s="4">
        <v>0</v>
      </c>
      <c r="V5" s="14"/>
      <c r="W5" s="17">
        <f>+T5+X5</f>
        <v>28</v>
      </c>
      <c r="X5" s="17">
        <v>3</v>
      </c>
      <c r="Y5" s="4">
        <f>+G5+L5+Q5+V5</f>
        <v>0</v>
      </c>
      <c r="Z5" s="13">
        <f>+Y5/(C5+D5)</f>
        <v>0</v>
      </c>
    </row>
    <row r="6" spans="2:26" ht="18.75" customHeight="1" x14ac:dyDescent="0.3">
      <c r="B6" s="18" t="s">
        <v>14</v>
      </c>
      <c r="C6" s="19"/>
      <c r="D6" s="19"/>
      <c r="E6" s="10">
        <f>E4+E5</f>
        <v>277</v>
      </c>
      <c r="F6" s="4">
        <f>+F4+F5</f>
        <v>10</v>
      </c>
      <c r="G6" s="4">
        <f>G4+G5</f>
        <v>6</v>
      </c>
      <c r="H6" s="5">
        <f>+H4+H5</f>
        <v>309</v>
      </c>
      <c r="I6" s="5">
        <f>+I4+I5</f>
        <v>32</v>
      </c>
      <c r="J6" s="10">
        <f>+J4+J5</f>
        <v>274</v>
      </c>
      <c r="K6" s="4">
        <f>SUM(K4:K5)</f>
        <v>14</v>
      </c>
      <c r="L6" s="4">
        <f>SUM(L4:L5)</f>
        <v>3</v>
      </c>
      <c r="M6" s="5">
        <f>+M4+M5</f>
        <v>306</v>
      </c>
      <c r="N6" s="5">
        <f>+N4+N5</f>
        <v>32</v>
      </c>
      <c r="O6" s="10">
        <f>+O4+O5</f>
        <v>272</v>
      </c>
      <c r="P6" s="4">
        <f>SUM(P4:P5)</f>
        <v>19</v>
      </c>
      <c r="Q6" s="4">
        <f>SUM(Q4:Q5)</f>
        <v>7</v>
      </c>
      <c r="R6" s="5">
        <f>+R4+R5</f>
        <v>301</v>
      </c>
      <c r="S6" s="5">
        <f>+S4+S5</f>
        <v>29</v>
      </c>
      <c r="T6" s="10">
        <f>+T4+T5</f>
        <v>279</v>
      </c>
      <c r="U6" s="4">
        <f>SUM(U4:U5)</f>
        <v>13</v>
      </c>
      <c r="V6" s="4">
        <f>+V4+V5</f>
        <v>6</v>
      </c>
      <c r="W6" s="5">
        <f>+W4+W5</f>
        <v>310</v>
      </c>
      <c r="X6" s="5">
        <f>+X4+X5</f>
        <v>31</v>
      </c>
      <c r="Y6" s="20"/>
      <c r="Z6" s="21"/>
    </row>
    <row r="7" spans="2:26" ht="12" customHeight="1" x14ac:dyDescent="0.3">
      <c r="H7" s="2"/>
      <c r="I7" s="2"/>
      <c r="J7" s="2"/>
      <c r="M7" s="2"/>
      <c r="N7" s="2"/>
      <c r="O7" s="2"/>
      <c r="R7" s="2"/>
      <c r="S7" s="2"/>
      <c r="T7" s="2"/>
      <c r="W7" s="2"/>
      <c r="X7" s="2"/>
      <c r="Y7" s="12"/>
    </row>
    <row r="8" spans="2:26" ht="33.75" customHeight="1" x14ac:dyDescent="0.3">
      <c r="B8" s="3"/>
      <c r="C8" s="59" t="s">
        <v>2</v>
      </c>
      <c r="D8" s="59" t="s">
        <v>3</v>
      </c>
      <c r="E8" s="30" t="s">
        <v>4</v>
      </c>
      <c r="F8" s="60" t="s">
        <v>5</v>
      </c>
      <c r="G8" s="60" t="s">
        <v>6</v>
      </c>
      <c r="H8" s="6" t="s">
        <v>7</v>
      </c>
      <c r="I8" s="6" t="s">
        <v>8</v>
      </c>
      <c r="J8" s="30" t="s">
        <v>4</v>
      </c>
      <c r="K8" s="11" t="s">
        <v>5</v>
      </c>
      <c r="L8" s="11" t="s">
        <v>9</v>
      </c>
      <c r="M8" s="6" t="s">
        <v>7</v>
      </c>
      <c r="N8" s="6" t="s">
        <v>8</v>
      </c>
      <c r="O8" s="30" t="s">
        <v>4</v>
      </c>
      <c r="P8" s="65" t="s">
        <v>15</v>
      </c>
      <c r="Q8" s="65" t="s">
        <v>16</v>
      </c>
      <c r="R8" s="6" t="s">
        <v>7</v>
      </c>
      <c r="S8" s="6" t="s">
        <v>8</v>
      </c>
      <c r="T8" s="30" t="s">
        <v>4</v>
      </c>
      <c r="U8" s="66" t="s">
        <v>5</v>
      </c>
      <c r="V8" s="66" t="s">
        <v>9</v>
      </c>
      <c r="W8" s="6" t="s">
        <v>7</v>
      </c>
      <c r="X8" s="6" t="s">
        <v>8</v>
      </c>
      <c r="Y8" s="59" t="s">
        <v>10</v>
      </c>
      <c r="Z8" s="59" t="s">
        <v>11</v>
      </c>
    </row>
    <row r="9" spans="2:26" x14ac:dyDescent="0.3">
      <c r="B9" s="3" t="s">
        <v>17</v>
      </c>
      <c r="C9" s="5">
        <v>13</v>
      </c>
      <c r="D9" s="5"/>
      <c r="E9" s="47">
        <v>139</v>
      </c>
      <c r="F9" s="5">
        <v>7</v>
      </c>
      <c r="G9" s="5">
        <v>4</v>
      </c>
      <c r="H9" s="4">
        <f>+E9+I9</f>
        <v>155</v>
      </c>
      <c r="I9" s="4">
        <v>16</v>
      </c>
      <c r="J9" s="47">
        <v>131</v>
      </c>
      <c r="K9" s="5">
        <v>2</v>
      </c>
      <c r="L9" s="5">
        <v>1</v>
      </c>
      <c r="M9" s="4">
        <f>N9+J9</f>
        <v>154</v>
      </c>
      <c r="N9" s="4">
        <v>23</v>
      </c>
      <c r="O9" s="47">
        <v>137</v>
      </c>
      <c r="P9" s="5">
        <v>4</v>
      </c>
      <c r="Q9" s="5">
        <v>2</v>
      </c>
      <c r="R9" s="4">
        <f>+O9+S9</f>
        <v>152</v>
      </c>
      <c r="S9" s="4">
        <v>15</v>
      </c>
      <c r="T9" s="47">
        <v>141</v>
      </c>
      <c r="U9" s="5">
        <v>2</v>
      </c>
      <c r="V9" s="5">
        <v>0</v>
      </c>
      <c r="W9" s="4">
        <f>+T9+X9</f>
        <v>154</v>
      </c>
      <c r="X9" s="4">
        <v>13</v>
      </c>
      <c r="Y9" s="4">
        <f>+G9+L9+Q9+V9</f>
        <v>7</v>
      </c>
      <c r="Z9" s="13">
        <f>+Y9/(C9+D9)</f>
        <v>0.53846153846153844</v>
      </c>
    </row>
    <row r="10" spans="2:26" x14ac:dyDescent="0.3">
      <c r="E10" s="1"/>
    </row>
    <row r="11" spans="2:26" ht="38.25" customHeight="1" x14ac:dyDescent="0.3">
      <c r="B11" s="15"/>
      <c r="C11" s="62" t="s">
        <v>2</v>
      </c>
      <c r="D11" s="62" t="s">
        <v>3</v>
      </c>
      <c r="E11" s="68" t="s">
        <v>4</v>
      </c>
      <c r="F11" s="63" t="s">
        <v>5</v>
      </c>
      <c r="G11" s="63" t="s">
        <v>6</v>
      </c>
      <c r="H11" s="61" t="s">
        <v>7</v>
      </c>
      <c r="I11" s="61" t="s">
        <v>8</v>
      </c>
      <c r="J11" s="68" t="s">
        <v>4</v>
      </c>
      <c r="K11" s="64" t="s">
        <v>5</v>
      </c>
      <c r="L11" s="11" t="s">
        <v>9</v>
      </c>
      <c r="M11" s="61" t="s">
        <v>7</v>
      </c>
      <c r="N11" s="61" t="s">
        <v>8</v>
      </c>
      <c r="O11" s="68" t="s">
        <v>4</v>
      </c>
      <c r="P11" s="65" t="s">
        <v>15</v>
      </c>
      <c r="Q11" s="65" t="s">
        <v>16</v>
      </c>
      <c r="R11" s="61" t="s">
        <v>7</v>
      </c>
      <c r="S11" s="61" t="s">
        <v>8</v>
      </c>
      <c r="T11" s="68" t="s">
        <v>4</v>
      </c>
      <c r="U11" s="66" t="s">
        <v>5</v>
      </c>
      <c r="V11" s="66" t="s">
        <v>9</v>
      </c>
      <c r="W11" s="61" t="s">
        <v>7</v>
      </c>
      <c r="X11" s="61" t="s">
        <v>8</v>
      </c>
      <c r="Y11" s="62" t="s">
        <v>10</v>
      </c>
      <c r="Z11" s="62" t="s">
        <v>11</v>
      </c>
    </row>
    <row r="12" spans="2:26" x14ac:dyDescent="0.3">
      <c r="B12" s="3" t="s">
        <v>18</v>
      </c>
      <c r="C12" s="5">
        <v>26</v>
      </c>
      <c r="D12" s="5"/>
      <c r="E12" s="47">
        <v>251</v>
      </c>
      <c r="F12" s="5">
        <v>15</v>
      </c>
      <c r="G12" s="5">
        <v>4</v>
      </c>
      <c r="H12" s="4">
        <f>+E12+I12</f>
        <v>325</v>
      </c>
      <c r="I12" s="4">
        <v>74</v>
      </c>
      <c r="J12" s="47">
        <v>266</v>
      </c>
      <c r="K12" s="5">
        <v>23</v>
      </c>
      <c r="L12" s="5">
        <v>8</v>
      </c>
      <c r="M12" s="4">
        <f>+J12+N12</f>
        <v>323</v>
      </c>
      <c r="N12" s="4">
        <v>57</v>
      </c>
      <c r="O12" s="47">
        <v>270</v>
      </c>
      <c r="P12" s="5">
        <v>17</v>
      </c>
      <c r="Q12" s="5">
        <v>6</v>
      </c>
      <c r="R12" s="4">
        <f>+O12+S12</f>
        <v>320</v>
      </c>
      <c r="S12" s="4">
        <v>50</v>
      </c>
      <c r="T12" s="47">
        <v>273</v>
      </c>
      <c r="U12" s="5">
        <v>23</v>
      </c>
      <c r="V12" s="5">
        <v>6</v>
      </c>
      <c r="W12" s="4">
        <f>+T12+X12</f>
        <v>320</v>
      </c>
      <c r="X12" s="4">
        <v>47</v>
      </c>
      <c r="Y12" s="4">
        <f>+G12+L12+Q12+V12</f>
        <v>24</v>
      </c>
      <c r="Z12" s="13">
        <f>+Y12/(C12+D12)</f>
        <v>0.92307692307692313</v>
      </c>
    </row>
    <row r="13" spans="2:26" ht="12" customHeight="1" x14ac:dyDescent="0.3">
      <c r="E13" s="1"/>
    </row>
    <row r="14" spans="2:26" ht="34.5" customHeight="1" x14ac:dyDescent="0.3">
      <c r="B14" s="9" t="s">
        <v>19</v>
      </c>
      <c r="C14" s="59" t="s">
        <v>2</v>
      </c>
      <c r="D14" s="59" t="s">
        <v>3</v>
      </c>
      <c r="E14" s="30" t="s">
        <v>4</v>
      </c>
      <c r="F14" s="60" t="s">
        <v>5</v>
      </c>
      <c r="G14" s="60" t="s">
        <v>6</v>
      </c>
      <c r="H14" s="6" t="s">
        <v>7</v>
      </c>
      <c r="I14" s="6" t="s">
        <v>8</v>
      </c>
      <c r="J14" s="30" t="s">
        <v>4</v>
      </c>
      <c r="K14" s="11" t="s">
        <v>5</v>
      </c>
      <c r="L14" s="11" t="s">
        <v>9</v>
      </c>
      <c r="M14" s="6" t="s">
        <v>7</v>
      </c>
      <c r="N14" s="6" t="s">
        <v>8</v>
      </c>
      <c r="O14" s="30" t="s">
        <v>4</v>
      </c>
      <c r="P14" s="65" t="s">
        <v>15</v>
      </c>
      <c r="Q14" s="65" t="s">
        <v>16</v>
      </c>
      <c r="R14" s="6" t="s">
        <v>7</v>
      </c>
      <c r="S14" s="6" t="s">
        <v>8</v>
      </c>
      <c r="T14" s="30" t="s">
        <v>4</v>
      </c>
      <c r="U14" s="66" t="s">
        <v>5</v>
      </c>
      <c r="V14" s="66" t="s">
        <v>9</v>
      </c>
      <c r="W14" s="6" t="s">
        <v>7</v>
      </c>
      <c r="X14" s="6" t="s">
        <v>8</v>
      </c>
      <c r="Y14" s="59" t="s">
        <v>10</v>
      </c>
      <c r="Z14" s="59" t="s">
        <v>11</v>
      </c>
    </row>
    <row r="15" spans="2:26" x14ac:dyDescent="0.3">
      <c r="B15" s="7" t="s">
        <v>20</v>
      </c>
      <c r="C15" s="5">
        <v>3</v>
      </c>
      <c r="D15" s="5"/>
      <c r="E15" s="47">
        <v>67</v>
      </c>
      <c r="F15" s="5">
        <v>1</v>
      </c>
      <c r="G15" s="5">
        <v>1</v>
      </c>
      <c r="H15" s="4">
        <f>+E15+I15</f>
        <v>70</v>
      </c>
      <c r="I15" s="4">
        <v>3</v>
      </c>
      <c r="J15" s="47">
        <v>70</v>
      </c>
      <c r="K15" s="14">
        <v>0</v>
      </c>
      <c r="L15" s="14">
        <v>0</v>
      </c>
      <c r="M15" s="4">
        <f>+J15+N15</f>
        <v>72</v>
      </c>
      <c r="N15" s="4">
        <v>2</v>
      </c>
      <c r="O15" s="47">
        <v>70</v>
      </c>
      <c r="P15" s="5">
        <v>0</v>
      </c>
      <c r="Q15" s="5">
        <v>0</v>
      </c>
      <c r="R15" s="4">
        <f>+O15+S15</f>
        <v>72</v>
      </c>
      <c r="S15" s="4">
        <v>2</v>
      </c>
      <c r="T15" s="47">
        <v>72</v>
      </c>
      <c r="U15" s="5">
        <v>0</v>
      </c>
      <c r="V15" s="5"/>
      <c r="W15" s="4">
        <f>+T15+X15</f>
        <v>74</v>
      </c>
      <c r="X15" s="4">
        <v>2</v>
      </c>
      <c r="Y15" s="4">
        <f>+G15+L15+Q15+V15</f>
        <v>1</v>
      </c>
      <c r="Z15" s="13">
        <f>+Y15/(C15+D15)</f>
        <v>0.33333333333333331</v>
      </c>
    </row>
    <row r="16" spans="2:26" x14ac:dyDescent="0.3">
      <c r="B16" s="7" t="s">
        <v>32</v>
      </c>
      <c r="C16" s="5">
        <v>3</v>
      </c>
      <c r="D16" s="5"/>
      <c r="E16" s="47">
        <v>25</v>
      </c>
      <c r="F16" s="5">
        <v>0</v>
      </c>
      <c r="G16" s="5">
        <v>0</v>
      </c>
      <c r="H16" s="4">
        <f>+E16+I16</f>
        <v>25</v>
      </c>
      <c r="I16" s="4">
        <v>0</v>
      </c>
      <c r="J16" s="47">
        <v>24</v>
      </c>
      <c r="K16" s="4">
        <v>1</v>
      </c>
      <c r="L16" s="14">
        <v>1</v>
      </c>
      <c r="M16" s="4">
        <f>+J16+N16</f>
        <v>24</v>
      </c>
      <c r="N16" s="4">
        <v>0</v>
      </c>
      <c r="O16" s="47">
        <v>25</v>
      </c>
      <c r="P16" s="5">
        <v>0</v>
      </c>
      <c r="Q16" s="5">
        <v>0</v>
      </c>
      <c r="R16" s="4">
        <f>+O16+S16</f>
        <v>26</v>
      </c>
      <c r="S16" s="4">
        <v>1</v>
      </c>
      <c r="T16" s="47">
        <v>25</v>
      </c>
      <c r="U16" s="4">
        <v>1</v>
      </c>
      <c r="V16" s="4"/>
      <c r="W16" s="4">
        <f>+T16+X16</f>
        <v>26</v>
      </c>
      <c r="X16" s="4">
        <v>1</v>
      </c>
      <c r="Y16" s="4">
        <f>+G16+L16+Q16+V16</f>
        <v>1</v>
      </c>
      <c r="Z16" s="13">
        <f>+Y16/(C16+D16)</f>
        <v>0.33333333333333331</v>
      </c>
    </row>
    <row r="17" spans="2:26" x14ac:dyDescent="0.3">
      <c r="B17" s="7" t="s">
        <v>21</v>
      </c>
      <c r="C17" s="5">
        <v>5</v>
      </c>
      <c r="D17" s="5"/>
      <c r="E17" s="47">
        <v>25</v>
      </c>
      <c r="F17" s="5">
        <v>0</v>
      </c>
      <c r="G17" s="5">
        <v>0</v>
      </c>
      <c r="H17" s="4">
        <f>+E17+I17</f>
        <v>25</v>
      </c>
      <c r="I17" s="4">
        <v>0</v>
      </c>
      <c r="J17" s="47">
        <v>35</v>
      </c>
      <c r="K17" s="4">
        <v>0</v>
      </c>
      <c r="L17" s="14">
        <v>0</v>
      </c>
      <c r="M17" s="4">
        <f>+J17+N17</f>
        <v>35</v>
      </c>
      <c r="N17" s="4">
        <v>0</v>
      </c>
      <c r="O17" s="47">
        <v>34</v>
      </c>
      <c r="P17" s="5">
        <v>0</v>
      </c>
      <c r="Q17" s="5">
        <v>0</v>
      </c>
      <c r="R17" s="4">
        <f>+O17+S17</f>
        <v>34</v>
      </c>
      <c r="S17" s="4">
        <v>0</v>
      </c>
      <c r="T17" s="47">
        <v>35</v>
      </c>
      <c r="U17" s="4">
        <v>1</v>
      </c>
      <c r="V17" s="4"/>
      <c r="W17" s="4">
        <f>+T17+X17</f>
        <v>35</v>
      </c>
      <c r="X17" s="4">
        <v>0</v>
      </c>
      <c r="Y17" s="4">
        <f>+G17+L17+Q17+V17</f>
        <v>0</v>
      </c>
      <c r="Z17" s="13">
        <f>+Y17/(C17+D17)</f>
        <v>0</v>
      </c>
    </row>
    <row r="18" spans="2:26" x14ac:dyDescent="0.3">
      <c r="B18" s="7" t="s">
        <v>33</v>
      </c>
      <c r="C18" s="5">
        <v>4</v>
      </c>
      <c r="D18" s="5"/>
      <c r="E18" s="47">
        <v>4</v>
      </c>
      <c r="F18" s="5">
        <v>0</v>
      </c>
      <c r="G18" s="5">
        <v>0</v>
      </c>
      <c r="H18" s="4">
        <f>+E18+I18</f>
        <v>4</v>
      </c>
      <c r="I18" s="4">
        <v>0</v>
      </c>
      <c r="J18" s="47">
        <v>4</v>
      </c>
      <c r="K18" s="4">
        <v>0</v>
      </c>
      <c r="L18" s="14">
        <v>0</v>
      </c>
      <c r="M18" s="4">
        <f>+J18+N18</f>
        <v>4</v>
      </c>
      <c r="N18" s="4">
        <v>0</v>
      </c>
      <c r="O18" s="47">
        <v>4</v>
      </c>
      <c r="P18" s="5">
        <v>0</v>
      </c>
      <c r="Q18" s="5">
        <v>0</v>
      </c>
      <c r="R18" s="4">
        <f>+O18+S18</f>
        <v>5</v>
      </c>
      <c r="S18" s="4">
        <v>1</v>
      </c>
      <c r="T18" s="47">
        <v>4</v>
      </c>
      <c r="U18" s="4">
        <v>0</v>
      </c>
      <c r="V18" s="4"/>
      <c r="W18" s="4">
        <f>+T18+X18</f>
        <v>5</v>
      </c>
      <c r="X18" s="4">
        <v>1</v>
      </c>
      <c r="Y18" s="4">
        <f>+G18+L18+Q18+V18</f>
        <v>0</v>
      </c>
      <c r="Z18" s="13">
        <f>+Y18/(C18+D18)</f>
        <v>0</v>
      </c>
    </row>
    <row r="19" spans="2:26" ht="12" customHeight="1" x14ac:dyDescent="0.3">
      <c r="B19" s="18" t="s">
        <v>22</v>
      </c>
      <c r="C19" s="19"/>
      <c r="D19" s="19"/>
      <c r="E19" s="19">
        <f>SUM(E15:E18)</f>
        <v>121</v>
      </c>
      <c r="F19" s="19">
        <f>+F15+F16+F17+F18</f>
        <v>1</v>
      </c>
      <c r="G19" s="19">
        <f t="shared" ref="G19:L19" si="0">SUM(G15:G18)</f>
        <v>1</v>
      </c>
      <c r="H19" s="19">
        <f t="shared" si="0"/>
        <v>124</v>
      </c>
      <c r="I19" s="19">
        <f t="shared" si="0"/>
        <v>3</v>
      </c>
      <c r="J19" s="19"/>
      <c r="K19" s="21">
        <f t="shared" si="0"/>
        <v>1</v>
      </c>
      <c r="L19" s="21">
        <f t="shared" si="0"/>
        <v>1</v>
      </c>
      <c r="M19" s="19"/>
      <c r="N19" s="19"/>
      <c r="O19" s="19"/>
      <c r="P19" s="21">
        <f>SUM(P15:P18)</f>
        <v>0</v>
      </c>
      <c r="Q19" s="21">
        <f>SUM(Q15:Q18)</f>
        <v>0</v>
      </c>
      <c r="R19" s="19"/>
      <c r="S19" s="19"/>
      <c r="T19" s="19"/>
      <c r="U19" s="21">
        <f>SUM(U15:U18)</f>
        <v>2</v>
      </c>
      <c r="V19" s="21">
        <v>0</v>
      </c>
      <c r="W19" s="19"/>
      <c r="X19" s="19"/>
      <c r="Y19" s="20"/>
      <c r="Z19" s="21"/>
    </row>
  </sheetData>
  <mergeCells count="4">
    <mergeCell ref="E2:I2"/>
    <mergeCell ref="J2:N2"/>
    <mergeCell ref="O2:S2"/>
    <mergeCell ref="T2:X2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300D-3055-4A3E-84BB-39B7CBEA0FD3}">
  <sheetPr>
    <tabColor rgb="FF00B050"/>
  </sheetPr>
  <dimension ref="B2:Z20"/>
  <sheetViews>
    <sheetView showGridLines="0" topLeftCell="B1" zoomScale="80" zoomScaleNormal="80" workbookViewId="0">
      <pane xSplit="3" ySplit="3" topLeftCell="E4" activePane="bottomRight" state="frozen"/>
      <selection pane="topRight" activeCell="E1" sqref="E1"/>
      <selection pane="bottomLeft" activeCell="B4" sqref="B4"/>
      <selection pane="bottomRight" activeCell="E13" sqref="E13"/>
    </sheetView>
  </sheetViews>
  <sheetFormatPr baseColWidth="10" defaultColWidth="11.44140625" defaultRowHeight="14.4" x14ac:dyDescent="0.3"/>
  <cols>
    <col min="1" max="1" width="3.109375" customWidth="1"/>
    <col min="2" max="2" width="15.5546875" customWidth="1"/>
    <col min="3" max="3" width="12.33203125" style="2" customWidth="1"/>
    <col min="4" max="5" width="13.109375" style="2" customWidth="1"/>
    <col min="6" max="7" width="8.6640625" style="2" customWidth="1"/>
    <col min="8" max="10" width="8.6640625" style="1" customWidth="1"/>
    <col min="11" max="12" width="8.6640625" customWidth="1"/>
    <col min="13" max="15" width="8.6640625" style="1" customWidth="1"/>
    <col min="16" max="17" width="8.6640625" customWidth="1"/>
    <col min="18" max="20" width="8.6640625" style="1" customWidth="1"/>
    <col min="21" max="22" width="8.6640625" customWidth="1"/>
    <col min="23" max="24" width="8.6640625" style="1" customWidth="1"/>
    <col min="25" max="25" width="14" customWidth="1"/>
    <col min="26" max="26" width="14.33203125" style="1" customWidth="1"/>
  </cols>
  <sheetData>
    <row r="2" spans="2:26" ht="14.4" customHeight="1" x14ac:dyDescent="0.3">
      <c r="B2" s="8" t="s">
        <v>0</v>
      </c>
      <c r="C2" s="2" t="s">
        <v>1</v>
      </c>
      <c r="E2" s="206" t="s">
        <v>38</v>
      </c>
      <c r="F2" s="206"/>
      <c r="G2" s="206"/>
      <c r="H2" s="206"/>
      <c r="I2" s="206"/>
      <c r="J2" s="207" t="s">
        <v>39</v>
      </c>
      <c r="K2" s="207"/>
      <c r="L2" s="207"/>
      <c r="M2" s="207"/>
      <c r="N2" s="207"/>
      <c r="O2" s="209" t="s">
        <v>40</v>
      </c>
      <c r="P2" s="209"/>
      <c r="Q2" s="209"/>
      <c r="R2" s="209"/>
      <c r="S2" s="209"/>
      <c r="T2" s="204" t="s">
        <v>41</v>
      </c>
      <c r="U2" s="204"/>
      <c r="V2" s="204"/>
      <c r="W2" s="204"/>
      <c r="X2" s="204"/>
    </row>
    <row r="3" spans="2:26" ht="38.25" customHeight="1" x14ac:dyDescent="0.3">
      <c r="B3" s="3"/>
      <c r="C3" s="59" t="s">
        <v>2</v>
      </c>
      <c r="D3" s="59" t="s">
        <v>3</v>
      </c>
      <c r="E3" s="30" t="s">
        <v>4</v>
      </c>
      <c r="F3" s="60" t="s">
        <v>5</v>
      </c>
      <c r="G3" s="60" t="s">
        <v>6</v>
      </c>
      <c r="H3" s="6" t="s">
        <v>7</v>
      </c>
      <c r="I3" s="6" t="s">
        <v>8</v>
      </c>
      <c r="J3" s="30" t="s">
        <v>4</v>
      </c>
      <c r="K3" s="11" t="s">
        <v>5</v>
      </c>
      <c r="L3" s="11" t="s">
        <v>9</v>
      </c>
      <c r="M3" s="6" t="s">
        <v>7</v>
      </c>
      <c r="N3" s="6" t="s">
        <v>8</v>
      </c>
      <c r="O3" s="30" t="s">
        <v>4</v>
      </c>
      <c r="P3" s="65" t="s">
        <v>5</v>
      </c>
      <c r="Q3" s="65" t="s">
        <v>9</v>
      </c>
      <c r="R3" s="6" t="s">
        <v>7</v>
      </c>
      <c r="S3" s="6" t="s">
        <v>8</v>
      </c>
      <c r="T3" s="30" t="s">
        <v>4</v>
      </c>
      <c r="U3" s="66" t="s">
        <v>5</v>
      </c>
      <c r="V3" s="66" t="s">
        <v>9</v>
      </c>
      <c r="W3" s="6" t="s">
        <v>7</v>
      </c>
      <c r="X3" s="6" t="s">
        <v>8</v>
      </c>
      <c r="Y3" s="59" t="s">
        <v>10</v>
      </c>
      <c r="Z3" s="59" t="s">
        <v>11</v>
      </c>
    </row>
    <row r="4" spans="2:26" x14ac:dyDescent="0.3">
      <c r="B4" s="3" t="s">
        <v>12</v>
      </c>
      <c r="C4" s="5">
        <v>41</v>
      </c>
      <c r="D4" s="5"/>
      <c r="E4" s="31">
        <v>254</v>
      </c>
      <c r="F4" s="46">
        <v>7</v>
      </c>
      <c r="G4" s="5">
        <v>5</v>
      </c>
      <c r="H4" s="4">
        <f>+I4+E4</f>
        <v>283</v>
      </c>
      <c r="I4" s="4">
        <v>29</v>
      </c>
      <c r="J4" s="31">
        <v>257</v>
      </c>
      <c r="K4" s="46">
        <v>13</v>
      </c>
      <c r="L4" s="5">
        <v>7</v>
      </c>
      <c r="M4" s="4">
        <f>+N4+J4</f>
        <v>287</v>
      </c>
      <c r="N4" s="4">
        <v>30</v>
      </c>
      <c r="O4" s="31">
        <v>246</v>
      </c>
      <c r="P4" s="5">
        <v>10</v>
      </c>
      <c r="Q4" s="5">
        <v>6</v>
      </c>
      <c r="R4" s="4">
        <f>+S4+O4</f>
        <v>285</v>
      </c>
      <c r="S4" s="4">
        <v>39</v>
      </c>
      <c r="T4" s="31">
        <v>245</v>
      </c>
      <c r="U4" s="5">
        <v>15</v>
      </c>
      <c r="V4" s="5">
        <v>6</v>
      </c>
      <c r="W4" s="4">
        <f>+X4+T4</f>
        <v>278</v>
      </c>
      <c r="X4" s="4">
        <v>33</v>
      </c>
      <c r="Y4" s="4">
        <f>+G4+L4+Q4+V4</f>
        <v>24</v>
      </c>
      <c r="Z4" s="13">
        <f>+Y4/(C4+D4)</f>
        <v>0.58536585365853655</v>
      </c>
    </row>
    <row r="5" spans="2:26" x14ac:dyDescent="0.3">
      <c r="B5" s="15" t="s">
        <v>13</v>
      </c>
      <c r="C5" s="14">
        <v>1</v>
      </c>
      <c r="D5" s="14"/>
      <c r="E5" s="31">
        <v>19</v>
      </c>
      <c r="F5" s="14"/>
      <c r="G5" s="14">
        <v>0</v>
      </c>
      <c r="H5" s="17">
        <f>+E5+I5</f>
        <v>20</v>
      </c>
      <c r="I5" s="17">
        <v>1</v>
      </c>
      <c r="J5" s="31">
        <v>18</v>
      </c>
      <c r="K5" s="14">
        <v>0</v>
      </c>
      <c r="L5" s="14">
        <v>0</v>
      </c>
      <c r="M5" s="17">
        <f>+J5+N5</f>
        <v>19</v>
      </c>
      <c r="N5" s="17">
        <v>1</v>
      </c>
      <c r="O5" s="31">
        <v>16</v>
      </c>
      <c r="P5" s="14">
        <v>0</v>
      </c>
      <c r="Q5" s="14">
        <v>0</v>
      </c>
      <c r="R5" s="17">
        <f>+O5+S5</f>
        <v>19</v>
      </c>
      <c r="S5" s="17">
        <v>3</v>
      </c>
      <c r="T5" s="31">
        <v>17</v>
      </c>
      <c r="U5" s="4">
        <v>0</v>
      </c>
      <c r="V5" s="14">
        <v>0</v>
      </c>
      <c r="W5" s="17">
        <f>+T5+X5</f>
        <v>18</v>
      </c>
      <c r="X5" s="17">
        <v>1</v>
      </c>
      <c r="Y5" s="4">
        <f>+G5+L5+Q5+V5</f>
        <v>0</v>
      </c>
      <c r="Z5" s="13">
        <f>+Y5/(C5+D5)</f>
        <v>0</v>
      </c>
    </row>
    <row r="6" spans="2:26" ht="18.75" customHeight="1" x14ac:dyDescent="0.3">
      <c r="B6" s="18" t="s">
        <v>14</v>
      </c>
      <c r="C6" s="19"/>
      <c r="D6" s="19"/>
      <c r="E6" s="10">
        <f>E4+E5</f>
        <v>273</v>
      </c>
      <c r="F6" s="4">
        <f>+F4+F5</f>
        <v>7</v>
      </c>
      <c r="G6" s="4">
        <f>G4+G5</f>
        <v>5</v>
      </c>
      <c r="H6" s="5">
        <f>+H4+H5</f>
        <v>303</v>
      </c>
      <c r="I6" s="5">
        <f>+I4+I5</f>
        <v>30</v>
      </c>
      <c r="J6" s="10">
        <f>+J4+J5</f>
        <v>275</v>
      </c>
      <c r="K6" s="4">
        <v>13</v>
      </c>
      <c r="L6" s="4">
        <f>SUM(L4:L5)</f>
        <v>7</v>
      </c>
      <c r="M6" s="5">
        <f>+M4+M5</f>
        <v>306</v>
      </c>
      <c r="N6" s="5">
        <f>+N4+N5</f>
        <v>31</v>
      </c>
      <c r="O6" s="10">
        <f>+O4+O5</f>
        <v>262</v>
      </c>
      <c r="P6" s="4">
        <f>SUM(P4:P5)</f>
        <v>10</v>
      </c>
      <c r="Q6" s="4">
        <f>SUM(Q4:Q5)</f>
        <v>6</v>
      </c>
      <c r="R6" s="5">
        <f>+R4+R5</f>
        <v>304</v>
      </c>
      <c r="S6" s="5">
        <f>+S4+S5</f>
        <v>42</v>
      </c>
      <c r="T6" s="10">
        <f>+T4+T5</f>
        <v>262</v>
      </c>
      <c r="U6" s="4">
        <f>SUM(U4:U5)</f>
        <v>15</v>
      </c>
      <c r="V6" s="4">
        <f>+V4+V5</f>
        <v>6</v>
      </c>
      <c r="W6" s="5">
        <f>+W4+W5</f>
        <v>296</v>
      </c>
      <c r="X6" s="5">
        <f>+X4+X5</f>
        <v>34</v>
      </c>
      <c r="Y6" s="20"/>
      <c r="Z6" s="21"/>
    </row>
    <row r="7" spans="2:26" ht="12" customHeight="1" x14ac:dyDescent="0.3">
      <c r="H7" s="2"/>
      <c r="I7" s="2"/>
      <c r="J7" s="2"/>
      <c r="M7" s="2"/>
      <c r="N7" s="2"/>
      <c r="O7" s="2"/>
      <c r="R7" s="2"/>
      <c r="S7" s="2"/>
      <c r="T7" s="2"/>
      <c r="W7" s="2"/>
      <c r="X7" s="2"/>
      <c r="Y7" s="12"/>
    </row>
    <row r="8" spans="2:26" ht="33.75" customHeight="1" x14ac:dyDescent="0.3">
      <c r="B8" s="3"/>
      <c r="C8" s="59" t="s">
        <v>2</v>
      </c>
      <c r="D8" s="59" t="s">
        <v>3</v>
      </c>
      <c r="E8" s="30" t="s">
        <v>4</v>
      </c>
      <c r="F8" s="60" t="s">
        <v>5</v>
      </c>
      <c r="G8" s="60" t="s">
        <v>6</v>
      </c>
      <c r="H8" s="6" t="s">
        <v>7</v>
      </c>
      <c r="I8" s="6" t="s">
        <v>8</v>
      </c>
      <c r="J8" s="30" t="s">
        <v>4</v>
      </c>
      <c r="K8" s="11" t="s">
        <v>5</v>
      </c>
      <c r="L8" s="11" t="s">
        <v>9</v>
      </c>
      <c r="M8" s="6" t="s">
        <v>7</v>
      </c>
      <c r="N8" s="6" t="s">
        <v>8</v>
      </c>
      <c r="O8" s="30" t="s">
        <v>4</v>
      </c>
      <c r="P8" s="65" t="s">
        <v>15</v>
      </c>
      <c r="Q8" s="65" t="s">
        <v>16</v>
      </c>
      <c r="R8" s="6" t="s">
        <v>7</v>
      </c>
      <c r="S8" s="6" t="s">
        <v>8</v>
      </c>
      <c r="T8" s="30" t="s">
        <v>4</v>
      </c>
      <c r="U8" s="66" t="s">
        <v>5</v>
      </c>
      <c r="V8" s="66" t="s">
        <v>9</v>
      </c>
      <c r="W8" s="6" t="s">
        <v>7</v>
      </c>
      <c r="X8" s="6" t="s">
        <v>8</v>
      </c>
      <c r="Y8" s="59" t="s">
        <v>10</v>
      </c>
      <c r="Z8" s="59" t="s">
        <v>11</v>
      </c>
    </row>
    <row r="9" spans="2:26" x14ac:dyDescent="0.3">
      <c r="B9" s="3" t="s">
        <v>17</v>
      </c>
      <c r="C9" s="5">
        <v>25</v>
      </c>
      <c r="D9" s="5"/>
      <c r="E9" s="47">
        <v>138</v>
      </c>
      <c r="F9" s="5">
        <v>5</v>
      </c>
      <c r="G9" s="5">
        <v>5</v>
      </c>
      <c r="H9" s="4">
        <f>+E9+I9</f>
        <v>166</v>
      </c>
      <c r="I9" s="4">
        <v>28</v>
      </c>
      <c r="J9" s="47">
        <v>137</v>
      </c>
      <c r="K9" s="5">
        <v>4</v>
      </c>
      <c r="L9" s="5">
        <v>1</v>
      </c>
      <c r="M9" s="4">
        <f>N9+J9</f>
        <v>164</v>
      </c>
      <c r="N9" s="4">
        <v>27</v>
      </c>
      <c r="O9" s="47">
        <v>134</v>
      </c>
      <c r="P9" s="5">
        <v>3</v>
      </c>
      <c r="Q9" s="5">
        <v>4</v>
      </c>
      <c r="R9" s="4">
        <f>+O9+S9</f>
        <v>156</v>
      </c>
      <c r="S9" s="4">
        <v>22</v>
      </c>
      <c r="T9" s="47">
        <v>133</v>
      </c>
      <c r="U9" s="5">
        <v>9</v>
      </c>
      <c r="V9" s="5">
        <v>2</v>
      </c>
      <c r="W9" s="4">
        <f>+T9+X9</f>
        <v>156</v>
      </c>
      <c r="X9" s="4">
        <v>23</v>
      </c>
      <c r="Y9" s="4">
        <f>+G9+L9+Q9+V9</f>
        <v>12</v>
      </c>
      <c r="Z9" s="13">
        <f>+Y9/(C9+D9)</f>
        <v>0.48</v>
      </c>
    </row>
    <row r="10" spans="2:26" x14ac:dyDescent="0.3">
      <c r="E10" s="1"/>
    </row>
    <row r="11" spans="2:26" ht="38.25" customHeight="1" x14ac:dyDescent="0.3">
      <c r="B11" s="15"/>
      <c r="C11" s="62" t="s">
        <v>2</v>
      </c>
      <c r="D11" s="62" t="s">
        <v>3</v>
      </c>
      <c r="E11" s="68" t="s">
        <v>4</v>
      </c>
      <c r="F11" s="63" t="s">
        <v>5</v>
      </c>
      <c r="G11" s="63" t="s">
        <v>6</v>
      </c>
      <c r="H11" s="61" t="s">
        <v>7</v>
      </c>
      <c r="I11" s="61" t="s">
        <v>8</v>
      </c>
      <c r="J11" s="68" t="s">
        <v>4</v>
      </c>
      <c r="K11" s="64" t="s">
        <v>5</v>
      </c>
      <c r="L11" s="11" t="s">
        <v>9</v>
      </c>
      <c r="M11" s="61" t="s">
        <v>7</v>
      </c>
      <c r="N11" s="61" t="s">
        <v>8</v>
      </c>
      <c r="O11" s="68" t="s">
        <v>4</v>
      </c>
      <c r="P11" s="65" t="s">
        <v>15</v>
      </c>
      <c r="Q11" s="65" t="s">
        <v>16</v>
      </c>
      <c r="R11" s="61" t="s">
        <v>7</v>
      </c>
      <c r="S11" s="61" t="s">
        <v>8</v>
      </c>
      <c r="T11" s="68" t="s">
        <v>4</v>
      </c>
      <c r="U11" s="66" t="s">
        <v>5</v>
      </c>
      <c r="V11" s="66" t="s">
        <v>9</v>
      </c>
      <c r="W11" s="61" t="s">
        <v>7</v>
      </c>
      <c r="X11" s="61" t="s">
        <v>8</v>
      </c>
      <c r="Y11" s="62" t="s">
        <v>10</v>
      </c>
      <c r="Z11" s="62" t="s">
        <v>11</v>
      </c>
    </row>
    <row r="12" spans="2:26" x14ac:dyDescent="0.3">
      <c r="B12" s="3" t="s">
        <v>18</v>
      </c>
      <c r="C12" s="5">
        <v>41</v>
      </c>
      <c r="D12" s="5"/>
      <c r="E12" s="47">
        <v>274</v>
      </c>
      <c r="F12" s="5">
        <v>27</v>
      </c>
      <c r="G12" s="5">
        <v>10</v>
      </c>
      <c r="H12" s="4">
        <f>+E12+I12</f>
        <v>328</v>
      </c>
      <c r="I12" s="4">
        <v>54</v>
      </c>
      <c r="J12" s="47">
        <v>290</v>
      </c>
      <c r="K12" s="5">
        <v>22</v>
      </c>
      <c r="L12" s="5">
        <v>9</v>
      </c>
      <c r="M12" s="4">
        <f>+J12+N12</f>
        <v>325</v>
      </c>
      <c r="N12" s="4">
        <v>35</v>
      </c>
      <c r="O12" s="47">
        <v>268</v>
      </c>
      <c r="P12" s="5">
        <v>6</v>
      </c>
      <c r="Q12" s="5">
        <v>4</v>
      </c>
      <c r="R12" s="4">
        <f>+O12+S12</f>
        <v>323</v>
      </c>
      <c r="S12" s="4">
        <v>55</v>
      </c>
      <c r="T12" s="47">
        <v>276</v>
      </c>
      <c r="U12" s="5">
        <v>15</v>
      </c>
      <c r="V12" s="5">
        <v>3</v>
      </c>
      <c r="W12" s="4">
        <f>+T12+X12</f>
        <v>332</v>
      </c>
      <c r="X12" s="4">
        <v>56</v>
      </c>
      <c r="Y12" s="4">
        <f>+G12+L12+Q12+V12</f>
        <v>26</v>
      </c>
      <c r="Z12" s="13">
        <f>+Y12/(C12+D12)</f>
        <v>0.63414634146341464</v>
      </c>
    </row>
    <row r="13" spans="2:26" x14ac:dyDescent="0.3">
      <c r="B13" s="3" t="s">
        <v>42</v>
      </c>
      <c r="C13" s="5">
        <v>0</v>
      </c>
      <c r="D13" s="5">
        <v>0</v>
      </c>
      <c r="E13" s="47">
        <v>5</v>
      </c>
      <c r="F13" s="5">
        <v>2</v>
      </c>
      <c r="G13" s="5">
        <v>0</v>
      </c>
      <c r="H13" s="4">
        <f>+E13+I13</f>
        <v>5</v>
      </c>
      <c r="I13" s="4">
        <v>0</v>
      </c>
      <c r="J13" s="47">
        <v>4</v>
      </c>
      <c r="K13" s="5">
        <v>2</v>
      </c>
      <c r="L13" s="5">
        <v>0</v>
      </c>
      <c r="M13" s="4">
        <f>+J13+N13</f>
        <v>5</v>
      </c>
      <c r="N13" s="4">
        <v>1</v>
      </c>
      <c r="O13" s="47">
        <v>5</v>
      </c>
      <c r="P13" s="5">
        <v>0</v>
      </c>
      <c r="Q13" s="5">
        <v>0</v>
      </c>
      <c r="R13" s="4">
        <f>S13+O13</f>
        <v>5</v>
      </c>
      <c r="S13" s="4">
        <v>0</v>
      </c>
      <c r="T13" s="47">
        <v>5</v>
      </c>
      <c r="U13" s="5"/>
      <c r="V13" s="5"/>
      <c r="W13" s="4">
        <f>+X13+T13</f>
        <v>5</v>
      </c>
      <c r="X13" s="4">
        <v>0</v>
      </c>
      <c r="Y13" s="4">
        <f>+G13+L13+Q13+V13</f>
        <v>0</v>
      </c>
      <c r="Z13" s="13" t="e">
        <f>+Y13/(C13+D13)</f>
        <v>#DIV/0!</v>
      </c>
    </row>
    <row r="14" spans="2:26" ht="12" customHeight="1" x14ac:dyDescent="0.3">
      <c r="E14" s="1"/>
    </row>
    <row r="15" spans="2:26" ht="34.5" customHeight="1" x14ac:dyDescent="0.3">
      <c r="B15" s="9" t="s">
        <v>19</v>
      </c>
      <c r="C15" s="59" t="s">
        <v>2</v>
      </c>
      <c r="D15" s="59" t="s">
        <v>3</v>
      </c>
      <c r="E15" s="30" t="s">
        <v>4</v>
      </c>
      <c r="F15" s="60" t="s">
        <v>5</v>
      </c>
      <c r="G15" s="60" t="s">
        <v>6</v>
      </c>
      <c r="H15" s="6" t="s">
        <v>7</v>
      </c>
      <c r="I15" s="6" t="s">
        <v>8</v>
      </c>
      <c r="J15" s="30" t="s">
        <v>4</v>
      </c>
      <c r="K15" s="11" t="s">
        <v>5</v>
      </c>
      <c r="L15" s="11" t="s">
        <v>9</v>
      </c>
      <c r="M15" s="6" t="s">
        <v>7</v>
      </c>
      <c r="N15" s="6" t="s">
        <v>8</v>
      </c>
      <c r="O15" s="30" t="s">
        <v>4</v>
      </c>
      <c r="P15" s="65" t="s">
        <v>15</v>
      </c>
      <c r="Q15" s="65" t="s">
        <v>16</v>
      </c>
      <c r="R15" s="6" t="s">
        <v>7</v>
      </c>
      <c r="S15" s="6" t="s">
        <v>8</v>
      </c>
      <c r="T15" s="30" t="s">
        <v>4</v>
      </c>
      <c r="U15" s="66" t="s">
        <v>5</v>
      </c>
      <c r="V15" s="66" t="s">
        <v>9</v>
      </c>
      <c r="W15" s="6" t="s">
        <v>7</v>
      </c>
      <c r="X15" s="6" t="s">
        <v>8</v>
      </c>
      <c r="Y15" s="59" t="s">
        <v>10</v>
      </c>
      <c r="Z15" s="59" t="s">
        <v>11</v>
      </c>
    </row>
    <row r="16" spans="2:26" x14ac:dyDescent="0.3">
      <c r="B16" s="7" t="s">
        <v>20</v>
      </c>
      <c r="C16" s="5">
        <v>13</v>
      </c>
      <c r="D16" s="5"/>
      <c r="E16" s="47">
        <v>64</v>
      </c>
      <c r="F16" s="5"/>
      <c r="G16" s="5">
        <v>0</v>
      </c>
      <c r="H16" s="4">
        <f>+E16+I16</f>
        <v>68</v>
      </c>
      <c r="I16" s="4">
        <v>4</v>
      </c>
      <c r="J16" s="47">
        <v>67</v>
      </c>
      <c r="K16" s="14">
        <v>0</v>
      </c>
      <c r="L16" s="14">
        <v>0</v>
      </c>
      <c r="M16" s="4">
        <f>+J16+N16</f>
        <v>71</v>
      </c>
      <c r="N16" s="4">
        <v>4</v>
      </c>
      <c r="O16" s="47">
        <v>68</v>
      </c>
      <c r="P16" s="5">
        <v>2</v>
      </c>
      <c r="Q16" s="5">
        <v>1</v>
      </c>
      <c r="R16" s="4">
        <f>+O16+S16</f>
        <v>68</v>
      </c>
      <c r="S16" s="4">
        <v>0</v>
      </c>
      <c r="T16" s="47">
        <v>66</v>
      </c>
      <c r="U16" s="5">
        <v>1</v>
      </c>
      <c r="V16" s="5">
        <v>0</v>
      </c>
      <c r="W16" s="4">
        <f>+T16+X16</f>
        <v>71</v>
      </c>
      <c r="X16" s="4">
        <v>5</v>
      </c>
      <c r="Y16" s="4">
        <f>+G16+L16+Q16+V16</f>
        <v>1</v>
      </c>
      <c r="Z16" s="13">
        <f>+Y16/(C16+D16)</f>
        <v>7.6923076923076927E-2</v>
      </c>
    </row>
    <row r="17" spans="2:26" x14ac:dyDescent="0.3">
      <c r="B17" s="7" t="s">
        <v>32</v>
      </c>
      <c r="C17" s="5">
        <v>11</v>
      </c>
      <c r="D17" s="5"/>
      <c r="E17" s="47">
        <v>21</v>
      </c>
      <c r="F17" s="5">
        <v>1</v>
      </c>
      <c r="G17" s="5">
        <v>1</v>
      </c>
      <c r="H17" s="4">
        <f>+E17+I17</f>
        <v>26</v>
      </c>
      <c r="I17" s="4">
        <v>5</v>
      </c>
      <c r="J17" s="47">
        <v>22</v>
      </c>
      <c r="K17" s="4">
        <v>0</v>
      </c>
      <c r="L17" s="14">
        <v>0</v>
      </c>
      <c r="M17" s="4">
        <f>+J17+N17</f>
        <v>27</v>
      </c>
      <c r="N17" s="4">
        <v>5</v>
      </c>
      <c r="O17" s="47">
        <v>28</v>
      </c>
      <c r="P17" s="4">
        <v>0</v>
      </c>
      <c r="Q17" s="4">
        <v>0</v>
      </c>
      <c r="R17" s="4">
        <f>+O17+S17</f>
        <v>28</v>
      </c>
      <c r="S17" s="4">
        <v>0</v>
      </c>
      <c r="T17" s="47">
        <v>26</v>
      </c>
      <c r="U17" s="4">
        <v>0</v>
      </c>
      <c r="V17" s="4">
        <v>0</v>
      </c>
      <c r="W17" s="4">
        <f>+T17+X17</f>
        <v>27</v>
      </c>
      <c r="X17" s="4">
        <v>1</v>
      </c>
      <c r="Y17" s="4">
        <f>+G17+L17+Q17+V17</f>
        <v>1</v>
      </c>
      <c r="Z17" s="13">
        <f>+Y17/(C17+D17)</f>
        <v>9.0909090909090912E-2</v>
      </c>
    </row>
    <row r="18" spans="2:26" x14ac:dyDescent="0.3">
      <c r="B18" s="7" t="s">
        <v>21</v>
      </c>
      <c r="C18" s="5">
        <v>7</v>
      </c>
      <c r="D18" s="5"/>
      <c r="E18" s="47">
        <v>33</v>
      </c>
      <c r="F18" s="5"/>
      <c r="G18" s="5">
        <v>0</v>
      </c>
      <c r="H18" s="4">
        <f>+E18+I18</f>
        <v>36</v>
      </c>
      <c r="I18" s="4">
        <v>3</v>
      </c>
      <c r="J18" s="47">
        <v>31</v>
      </c>
      <c r="K18" s="4">
        <v>0</v>
      </c>
      <c r="L18" s="14">
        <v>0</v>
      </c>
      <c r="M18" s="4">
        <f>+J18+N18</f>
        <v>36</v>
      </c>
      <c r="N18" s="4">
        <v>5</v>
      </c>
      <c r="O18" s="47">
        <v>33</v>
      </c>
      <c r="P18" s="4">
        <v>1</v>
      </c>
      <c r="Q18" s="4">
        <v>1</v>
      </c>
      <c r="R18" s="4">
        <f>+O18+S18</f>
        <v>34</v>
      </c>
      <c r="S18" s="4">
        <v>1</v>
      </c>
      <c r="T18" s="47">
        <v>36</v>
      </c>
      <c r="U18" s="4">
        <v>1</v>
      </c>
      <c r="V18" s="4">
        <v>0</v>
      </c>
      <c r="W18" s="4">
        <f>+T18+X18</f>
        <v>36</v>
      </c>
      <c r="X18" s="4">
        <v>0</v>
      </c>
      <c r="Y18" s="4">
        <f>+G18+L18+Q18+V18</f>
        <v>1</v>
      </c>
      <c r="Z18" s="13">
        <f>+Y18/(C18+D18)</f>
        <v>0.14285714285714285</v>
      </c>
    </row>
    <row r="19" spans="2:26" x14ac:dyDescent="0.3">
      <c r="B19" s="7" t="s">
        <v>33</v>
      </c>
      <c r="C19" s="5">
        <v>5</v>
      </c>
      <c r="D19" s="5"/>
      <c r="E19" s="47">
        <v>6</v>
      </c>
      <c r="F19" s="5"/>
      <c r="G19" s="5">
        <v>0</v>
      </c>
      <c r="H19" s="4">
        <f>+E19+I19</f>
        <v>7</v>
      </c>
      <c r="I19" s="4">
        <v>1</v>
      </c>
      <c r="J19" s="47">
        <v>4</v>
      </c>
      <c r="K19" s="4">
        <v>0</v>
      </c>
      <c r="L19" s="14">
        <v>0</v>
      </c>
      <c r="M19" s="4">
        <f>+J19+N19</f>
        <v>6</v>
      </c>
      <c r="N19" s="4">
        <v>2</v>
      </c>
      <c r="O19" s="47">
        <v>4</v>
      </c>
      <c r="P19" s="4">
        <v>0</v>
      </c>
      <c r="Q19" s="4">
        <v>0</v>
      </c>
      <c r="R19" s="4">
        <f>+O19+S19</f>
        <v>4</v>
      </c>
      <c r="S19" s="4">
        <v>0</v>
      </c>
      <c r="T19" s="47">
        <v>4</v>
      </c>
      <c r="U19" s="4">
        <v>0</v>
      </c>
      <c r="V19" s="4">
        <v>0</v>
      </c>
      <c r="W19" s="4">
        <f>+T19+X19</f>
        <v>4</v>
      </c>
      <c r="X19" s="4">
        <v>0</v>
      </c>
      <c r="Y19" s="4">
        <f>+G19+L19+Q19+V19</f>
        <v>0</v>
      </c>
      <c r="Z19" s="13">
        <f>+Y19/(C19+D19)</f>
        <v>0</v>
      </c>
    </row>
    <row r="20" spans="2:26" ht="12" customHeight="1" x14ac:dyDescent="0.3">
      <c r="B20" s="18" t="s">
        <v>22</v>
      </c>
      <c r="C20" s="19"/>
      <c r="D20" s="19"/>
      <c r="E20" s="19">
        <f>SUM(E16:E19)</f>
        <v>124</v>
      </c>
      <c r="F20" s="19">
        <f>+F16+F17+F18+F19</f>
        <v>1</v>
      </c>
      <c r="G20" s="19">
        <f>SUM(G16:G19)</f>
        <v>1</v>
      </c>
      <c r="H20" s="19">
        <f>SUM(H16:H19)</f>
        <v>137</v>
      </c>
      <c r="I20" s="19">
        <f>SUM(I16:I19)</f>
        <v>13</v>
      </c>
      <c r="J20" s="19"/>
      <c r="K20" s="21"/>
      <c r="L20" s="18"/>
      <c r="M20" s="19"/>
      <c r="N20" s="19"/>
      <c r="O20" s="19"/>
      <c r="P20" s="21">
        <f>SUM(P16:P19)</f>
        <v>3</v>
      </c>
      <c r="Q20" s="21">
        <f>SUM(Q16:Q19)</f>
        <v>2</v>
      </c>
      <c r="R20" s="19"/>
      <c r="S20" s="19"/>
      <c r="T20" s="19"/>
      <c r="U20" s="21">
        <f>SUM(U16:U19)</f>
        <v>2</v>
      </c>
      <c r="V20" s="21">
        <v>0</v>
      </c>
      <c r="W20" s="19"/>
      <c r="X20" s="19"/>
      <c r="Y20" s="77">
        <f>SUM(Y16:Y19)</f>
        <v>3</v>
      </c>
      <c r="Z20" s="21"/>
    </row>
  </sheetData>
  <mergeCells count="4">
    <mergeCell ref="E2:I2"/>
    <mergeCell ref="J2:N2"/>
    <mergeCell ref="O2:S2"/>
    <mergeCell ref="T2:X2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7A211-66EC-4D92-9A28-21F0BF3BC0FD}">
  <sheetPr>
    <tabColor rgb="FFFF0000"/>
  </sheetPr>
  <dimension ref="B2:Z20"/>
  <sheetViews>
    <sheetView showGridLines="0" zoomScale="73" zoomScaleNormal="73" workbookViewId="0">
      <selection activeCell="D11" sqref="D11"/>
    </sheetView>
  </sheetViews>
  <sheetFormatPr baseColWidth="10" defaultColWidth="11.44140625" defaultRowHeight="14.4" x14ac:dyDescent="0.3"/>
  <cols>
    <col min="1" max="1" width="2.109375" customWidth="1"/>
    <col min="2" max="2" width="14.109375" customWidth="1"/>
    <col min="3" max="3" width="10.5546875" style="2" customWidth="1"/>
    <col min="4" max="4" width="11.33203125" style="2" customWidth="1"/>
    <col min="5" max="5" width="8.6640625" style="1" customWidth="1"/>
    <col min="6" max="7" width="8.6640625" style="2" customWidth="1"/>
    <col min="8" max="10" width="8.6640625" style="1" customWidth="1"/>
    <col min="11" max="12" width="8.6640625" customWidth="1"/>
    <col min="13" max="15" width="8.6640625" style="1" customWidth="1"/>
    <col min="16" max="17" width="8.6640625" customWidth="1"/>
    <col min="18" max="20" width="8.6640625" style="1" customWidth="1"/>
    <col min="21" max="22" width="8.6640625" customWidth="1"/>
    <col min="23" max="24" width="8.6640625" style="1" customWidth="1"/>
    <col min="25" max="25" width="14" customWidth="1"/>
    <col min="26" max="26" width="13.88671875" style="1" customWidth="1"/>
  </cols>
  <sheetData>
    <row r="2" spans="2:26" x14ac:dyDescent="0.3">
      <c r="B2" s="8" t="s">
        <v>0</v>
      </c>
      <c r="C2" s="2" t="s">
        <v>1</v>
      </c>
      <c r="E2" s="199">
        <v>45726</v>
      </c>
      <c r="F2" s="199"/>
      <c r="G2" s="199"/>
      <c r="H2" s="199"/>
      <c r="I2" s="200"/>
      <c r="J2" s="201">
        <v>45733</v>
      </c>
      <c r="K2" s="202"/>
      <c r="L2" s="202"/>
      <c r="M2" s="202"/>
      <c r="N2" s="202"/>
      <c r="O2" s="203">
        <v>45740</v>
      </c>
      <c r="P2" s="203"/>
      <c r="Q2" s="203"/>
      <c r="R2" s="203"/>
      <c r="S2" s="203"/>
      <c r="T2" s="204">
        <v>45747</v>
      </c>
      <c r="U2" s="204"/>
      <c r="V2" s="204"/>
      <c r="W2" s="204"/>
      <c r="X2" s="204"/>
    </row>
    <row r="3" spans="2:26" ht="38.25" customHeight="1" x14ac:dyDescent="0.3">
      <c r="B3" s="3"/>
      <c r="C3" s="59" t="s">
        <v>2</v>
      </c>
      <c r="D3" s="59" t="s">
        <v>3</v>
      </c>
      <c r="E3" s="30" t="s">
        <v>4</v>
      </c>
      <c r="F3" s="60" t="s">
        <v>5</v>
      </c>
      <c r="G3" s="60" t="s">
        <v>6</v>
      </c>
      <c r="H3" s="6" t="s">
        <v>7</v>
      </c>
      <c r="I3" s="6" t="s">
        <v>8</v>
      </c>
      <c r="J3" s="30" t="s">
        <v>4</v>
      </c>
      <c r="K3" s="11" t="s">
        <v>5</v>
      </c>
      <c r="L3" s="11" t="s">
        <v>9</v>
      </c>
      <c r="M3" s="6" t="s">
        <v>7</v>
      </c>
      <c r="N3" s="6" t="s">
        <v>8</v>
      </c>
      <c r="O3" s="30" t="s">
        <v>4</v>
      </c>
      <c r="P3" s="65" t="s">
        <v>5</v>
      </c>
      <c r="Q3" s="65" t="s">
        <v>9</v>
      </c>
      <c r="R3" s="6" t="s">
        <v>7</v>
      </c>
      <c r="S3" s="6" t="s">
        <v>8</v>
      </c>
      <c r="T3" s="30" t="s">
        <v>4</v>
      </c>
      <c r="U3" s="66" t="s">
        <v>5</v>
      </c>
      <c r="V3" s="66" t="s">
        <v>9</v>
      </c>
      <c r="W3" s="6" t="s">
        <v>7</v>
      </c>
      <c r="X3" s="6" t="s">
        <v>8</v>
      </c>
      <c r="Y3" s="59" t="s">
        <v>10</v>
      </c>
      <c r="Z3" s="59" t="s">
        <v>11</v>
      </c>
    </row>
    <row r="4" spans="2:26" x14ac:dyDescent="0.3">
      <c r="B4" s="3" t="s">
        <v>12</v>
      </c>
      <c r="C4" s="5">
        <v>30</v>
      </c>
      <c r="D4" s="5">
        <v>15</v>
      </c>
      <c r="E4" s="31">
        <v>237</v>
      </c>
      <c r="F4" s="46">
        <v>16</v>
      </c>
      <c r="G4" s="5">
        <v>10</v>
      </c>
      <c r="H4" s="4">
        <f>+I4+E4</f>
        <v>271</v>
      </c>
      <c r="I4" s="4">
        <v>34</v>
      </c>
      <c r="J4" s="31">
        <v>247</v>
      </c>
      <c r="K4" s="46">
        <v>12</v>
      </c>
      <c r="L4" s="5">
        <v>7</v>
      </c>
      <c r="M4" s="4">
        <f>+N4+J4</f>
        <v>270</v>
      </c>
      <c r="N4" s="4">
        <v>23</v>
      </c>
      <c r="O4" s="31">
        <v>249</v>
      </c>
      <c r="P4" s="5">
        <v>12</v>
      </c>
      <c r="Q4" s="5">
        <v>8</v>
      </c>
      <c r="R4" s="4">
        <f>+S4+O4</f>
        <v>276</v>
      </c>
      <c r="S4" s="4">
        <v>27</v>
      </c>
      <c r="T4" s="31">
        <v>248</v>
      </c>
      <c r="U4" s="5">
        <v>15</v>
      </c>
      <c r="V4" s="5">
        <v>9</v>
      </c>
      <c r="W4" s="4">
        <f>+X4+T4</f>
        <v>278</v>
      </c>
      <c r="X4" s="4">
        <v>30</v>
      </c>
      <c r="Y4" s="4">
        <f>+G4+L4+Q4+V4</f>
        <v>34</v>
      </c>
      <c r="Z4" s="13">
        <f>+Y4/(C4+D4)</f>
        <v>0.75555555555555554</v>
      </c>
    </row>
    <row r="5" spans="2:26" x14ac:dyDescent="0.3">
      <c r="B5" s="15" t="s">
        <v>13</v>
      </c>
      <c r="C5" s="14">
        <v>7</v>
      </c>
      <c r="D5" s="14">
        <v>3</v>
      </c>
      <c r="E5" s="31">
        <v>17</v>
      </c>
      <c r="F5" s="14"/>
      <c r="G5" s="14"/>
      <c r="H5" s="17">
        <f>+E5+I5</f>
        <v>18</v>
      </c>
      <c r="I5" s="17">
        <v>1</v>
      </c>
      <c r="J5" s="31">
        <v>17</v>
      </c>
      <c r="K5" s="14"/>
      <c r="L5" s="14"/>
      <c r="M5" s="17">
        <f>+J5+N5</f>
        <v>18</v>
      </c>
      <c r="N5" s="17">
        <v>1</v>
      </c>
      <c r="O5" s="31">
        <v>16</v>
      </c>
      <c r="P5" s="14"/>
      <c r="Q5" s="14"/>
      <c r="R5" s="17">
        <f>+O5+S5</f>
        <v>19</v>
      </c>
      <c r="S5" s="17">
        <v>3</v>
      </c>
      <c r="T5" s="31">
        <v>18</v>
      </c>
      <c r="U5" s="3"/>
      <c r="V5" s="14"/>
      <c r="W5" s="17">
        <f>+T5+X5</f>
        <v>20</v>
      </c>
      <c r="X5" s="17">
        <v>2</v>
      </c>
      <c r="Y5" s="4">
        <f>+G5+L5+Q5+V5</f>
        <v>0</v>
      </c>
      <c r="Z5" s="13">
        <f>+Y5/(C5+D5)</f>
        <v>0</v>
      </c>
    </row>
    <row r="6" spans="2:26" ht="18.75" customHeight="1" x14ac:dyDescent="0.3">
      <c r="B6" s="18" t="s">
        <v>14</v>
      </c>
      <c r="C6" s="19"/>
      <c r="D6" s="19">
        <v>55</v>
      </c>
      <c r="E6" s="10">
        <f>+E4+E5</f>
        <v>254</v>
      </c>
      <c r="F6" s="3"/>
      <c r="G6" s="3"/>
      <c r="H6" s="5">
        <f>+H4+H5</f>
        <v>289</v>
      </c>
      <c r="I6" s="5">
        <f>+I4+I5</f>
        <v>35</v>
      </c>
      <c r="J6" s="10">
        <f>+J4+J5</f>
        <v>264</v>
      </c>
      <c r="K6" s="3"/>
      <c r="L6" s="3"/>
      <c r="M6" s="5">
        <f>+M4+M5</f>
        <v>288</v>
      </c>
      <c r="N6" s="5">
        <f>+N4+N5</f>
        <v>24</v>
      </c>
      <c r="O6" s="10">
        <f>+O4+O5</f>
        <v>265</v>
      </c>
      <c r="P6" s="3"/>
      <c r="Q6" s="3"/>
      <c r="R6" s="5">
        <f>+R4+R5</f>
        <v>295</v>
      </c>
      <c r="S6" s="5">
        <f>+S4+S5</f>
        <v>30</v>
      </c>
      <c r="T6" s="10">
        <f>+T4+T5</f>
        <v>266</v>
      </c>
      <c r="U6" s="3"/>
      <c r="V6" s="3"/>
      <c r="W6" s="5">
        <f>+W4+W5</f>
        <v>298</v>
      </c>
      <c r="X6" s="5">
        <f>+X4+X5</f>
        <v>32</v>
      </c>
      <c r="Y6" s="20"/>
      <c r="Z6" s="21"/>
    </row>
    <row r="7" spans="2:26" ht="12" customHeight="1" x14ac:dyDescent="0.3">
      <c r="E7" s="2"/>
      <c r="H7" s="2"/>
      <c r="I7" s="2"/>
      <c r="J7" s="2"/>
      <c r="M7" s="2"/>
      <c r="N7" s="2"/>
      <c r="O7" s="2"/>
      <c r="R7" s="2"/>
      <c r="S7" s="2"/>
      <c r="T7" s="2"/>
      <c r="W7" s="2"/>
      <c r="X7" s="2"/>
      <c r="Y7" s="12"/>
    </row>
    <row r="8" spans="2:26" ht="33.75" customHeight="1" x14ac:dyDescent="0.3">
      <c r="B8" s="3"/>
      <c r="C8" s="59" t="s">
        <v>2</v>
      </c>
      <c r="D8" s="59" t="s">
        <v>3</v>
      </c>
      <c r="E8" s="30" t="s">
        <v>4</v>
      </c>
      <c r="F8" s="60" t="s">
        <v>5</v>
      </c>
      <c r="G8" s="60" t="s">
        <v>6</v>
      </c>
      <c r="H8" s="6" t="s">
        <v>7</v>
      </c>
      <c r="I8" s="6" t="s">
        <v>8</v>
      </c>
      <c r="J8" s="30" t="s">
        <v>4</v>
      </c>
      <c r="K8" s="11" t="s">
        <v>5</v>
      </c>
      <c r="L8" s="11" t="s">
        <v>2</v>
      </c>
      <c r="M8" s="6" t="s">
        <v>7</v>
      </c>
      <c r="N8" s="6" t="s">
        <v>8</v>
      </c>
      <c r="O8" s="30" t="s">
        <v>4</v>
      </c>
      <c r="P8" s="65" t="s">
        <v>15</v>
      </c>
      <c r="Q8" s="65" t="s">
        <v>16</v>
      </c>
      <c r="R8" s="6" t="s">
        <v>7</v>
      </c>
      <c r="S8" s="6" t="s">
        <v>8</v>
      </c>
      <c r="T8" s="30" t="s">
        <v>4</v>
      </c>
      <c r="U8" s="66" t="s">
        <v>5</v>
      </c>
      <c r="V8" s="66" t="s">
        <v>9</v>
      </c>
      <c r="W8" s="6" t="s">
        <v>7</v>
      </c>
      <c r="X8" s="6" t="s">
        <v>8</v>
      </c>
      <c r="Y8" s="59" t="s">
        <v>10</v>
      </c>
      <c r="Z8" s="59" t="s">
        <v>11</v>
      </c>
    </row>
    <row r="9" spans="2:26" x14ac:dyDescent="0.3">
      <c r="B9" s="3" t="s">
        <v>17</v>
      </c>
      <c r="C9" s="5">
        <v>25</v>
      </c>
      <c r="D9" s="5"/>
      <c r="E9" s="47">
        <v>122</v>
      </c>
      <c r="F9" s="5">
        <v>10</v>
      </c>
      <c r="G9" s="5">
        <v>5</v>
      </c>
      <c r="H9" s="4">
        <f>+E9+I9</f>
        <v>145</v>
      </c>
      <c r="I9" s="4">
        <v>23</v>
      </c>
      <c r="J9" s="47">
        <v>123</v>
      </c>
      <c r="K9" s="5">
        <v>9</v>
      </c>
      <c r="L9" s="5">
        <v>5</v>
      </c>
      <c r="M9" s="4">
        <f>+J9+N9</f>
        <v>151</v>
      </c>
      <c r="N9" s="4">
        <v>28</v>
      </c>
      <c r="O9" s="47">
        <v>129</v>
      </c>
      <c r="P9" s="5">
        <v>9</v>
      </c>
      <c r="Q9" s="5">
        <v>4</v>
      </c>
      <c r="R9" s="4">
        <f>+O9+S9</f>
        <v>153</v>
      </c>
      <c r="S9" s="4">
        <v>24</v>
      </c>
      <c r="T9" s="47">
        <v>138</v>
      </c>
      <c r="U9" s="5">
        <v>7</v>
      </c>
      <c r="V9" s="5">
        <v>5</v>
      </c>
      <c r="W9" s="4">
        <f>+T9+X9</f>
        <v>160</v>
      </c>
      <c r="X9" s="4">
        <v>22</v>
      </c>
      <c r="Y9" s="4">
        <f>+G9+L9+Q9+V9</f>
        <v>19</v>
      </c>
      <c r="Z9" s="13">
        <f>+Y9/(C9+D9)</f>
        <v>0.76</v>
      </c>
    </row>
    <row r="11" spans="2:26" ht="38.25" customHeight="1" x14ac:dyDescent="0.3">
      <c r="B11" s="15"/>
      <c r="C11" s="62" t="s">
        <v>2</v>
      </c>
      <c r="D11" s="62" t="s">
        <v>3</v>
      </c>
      <c r="E11" s="68" t="s">
        <v>4</v>
      </c>
      <c r="F11" s="63" t="s">
        <v>5</v>
      </c>
      <c r="G11" s="63" t="s">
        <v>6</v>
      </c>
      <c r="H11" s="61" t="s">
        <v>7</v>
      </c>
      <c r="I11" s="61" t="s">
        <v>8</v>
      </c>
      <c r="J11" s="68" t="s">
        <v>4</v>
      </c>
      <c r="K11" s="64" t="s">
        <v>5</v>
      </c>
      <c r="L11" s="64" t="s">
        <v>2</v>
      </c>
      <c r="M11" s="61" t="s">
        <v>7</v>
      </c>
      <c r="N11" s="61" t="s">
        <v>8</v>
      </c>
      <c r="O11" s="68" t="s">
        <v>4</v>
      </c>
      <c r="P11" s="65" t="s">
        <v>15</v>
      </c>
      <c r="Q11" s="65" t="s">
        <v>16</v>
      </c>
      <c r="R11" s="61" t="s">
        <v>7</v>
      </c>
      <c r="S11" s="61" t="s">
        <v>8</v>
      </c>
      <c r="T11" s="68" t="s">
        <v>4</v>
      </c>
      <c r="U11" s="66" t="s">
        <v>5</v>
      </c>
      <c r="V11" s="66" t="s">
        <v>9</v>
      </c>
      <c r="W11" s="61" t="s">
        <v>7</v>
      </c>
      <c r="X11" s="61" t="s">
        <v>8</v>
      </c>
      <c r="Y11" s="62" t="s">
        <v>10</v>
      </c>
      <c r="Z11" s="62" t="s">
        <v>11</v>
      </c>
    </row>
    <row r="12" spans="2:26" x14ac:dyDescent="0.3">
      <c r="B12" s="3" t="s">
        <v>18</v>
      </c>
      <c r="C12" s="5">
        <v>50</v>
      </c>
      <c r="D12" s="5"/>
      <c r="E12" s="47">
        <v>277</v>
      </c>
      <c r="F12" s="5">
        <v>10</v>
      </c>
      <c r="G12" s="5">
        <v>5</v>
      </c>
      <c r="H12" s="4">
        <f>+E12+I12</f>
        <v>343</v>
      </c>
      <c r="I12" s="4">
        <v>66</v>
      </c>
      <c r="J12" s="47">
        <v>293</v>
      </c>
      <c r="K12" s="5">
        <v>13</v>
      </c>
      <c r="L12" s="5">
        <v>7</v>
      </c>
      <c r="M12" s="4">
        <f>+J12+N12</f>
        <v>336</v>
      </c>
      <c r="N12" s="4">
        <v>43</v>
      </c>
      <c r="O12" s="47">
        <v>291</v>
      </c>
      <c r="P12" s="5">
        <v>12</v>
      </c>
      <c r="Q12" s="5">
        <v>7</v>
      </c>
      <c r="R12" s="4">
        <f>+O12+S12</f>
        <v>331</v>
      </c>
      <c r="S12" s="4">
        <v>40</v>
      </c>
      <c r="T12" s="47">
        <v>278</v>
      </c>
      <c r="U12" s="5">
        <v>17</v>
      </c>
      <c r="V12" s="5">
        <v>4</v>
      </c>
      <c r="W12" s="4">
        <f>+T12+X12</f>
        <v>332</v>
      </c>
      <c r="X12" s="4">
        <v>54</v>
      </c>
      <c r="Y12" s="4">
        <f>+G12+L12+Q12+V12</f>
        <v>23</v>
      </c>
      <c r="Z12" s="13">
        <f>+Y12/(C12+D12)</f>
        <v>0.46</v>
      </c>
    </row>
    <row r="13" spans="2:26" x14ac:dyDescent="0.3">
      <c r="B13" s="3" t="s">
        <v>42</v>
      </c>
      <c r="C13" s="5">
        <v>50</v>
      </c>
      <c r="D13" s="5"/>
      <c r="E13" s="47">
        <v>5</v>
      </c>
      <c r="F13" s="5"/>
      <c r="G13" s="5">
        <v>0</v>
      </c>
      <c r="H13" s="4">
        <f>+E13+I13</f>
        <v>7</v>
      </c>
      <c r="I13" s="4">
        <v>2</v>
      </c>
      <c r="J13" s="47">
        <v>6</v>
      </c>
      <c r="K13" s="5"/>
      <c r="L13" s="5">
        <v>0</v>
      </c>
      <c r="M13" s="4">
        <f>+J13+N13</f>
        <v>7</v>
      </c>
      <c r="N13" s="4">
        <v>1</v>
      </c>
      <c r="O13" s="47">
        <v>5</v>
      </c>
      <c r="P13" s="5"/>
      <c r="Q13" s="5">
        <v>0</v>
      </c>
      <c r="R13" s="4">
        <f>+O13+S13</f>
        <v>7</v>
      </c>
      <c r="S13" s="4">
        <v>2</v>
      </c>
      <c r="T13" s="47">
        <v>5</v>
      </c>
      <c r="U13" s="5"/>
      <c r="V13" s="5">
        <v>0</v>
      </c>
      <c r="W13" s="4">
        <f>+T13+X13</f>
        <v>5</v>
      </c>
      <c r="X13" s="4">
        <v>0</v>
      </c>
      <c r="Y13" s="4">
        <f>+G13+L13+Q13+V13</f>
        <v>0</v>
      </c>
      <c r="Z13" s="13">
        <f>+Y13/(C13+D13)</f>
        <v>0</v>
      </c>
    </row>
    <row r="14" spans="2:26" ht="12" customHeight="1" x14ac:dyDescent="0.3"/>
    <row r="15" spans="2:26" ht="34.5" customHeight="1" x14ac:dyDescent="0.3">
      <c r="B15" s="9" t="s">
        <v>19</v>
      </c>
      <c r="C15" s="59" t="s">
        <v>2</v>
      </c>
      <c r="D15" s="59" t="s">
        <v>3</v>
      </c>
      <c r="E15" s="30" t="s">
        <v>4</v>
      </c>
      <c r="F15" s="60" t="s">
        <v>5</v>
      </c>
      <c r="G15" s="60" t="s">
        <v>6</v>
      </c>
      <c r="H15" s="6" t="s">
        <v>7</v>
      </c>
      <c r="I15" s="6" t="s">
        <v>8</v>
      </c>
      <c r="J15" s="30" t="s">
        <v>4</v>
      </c>
      <c r="K15" s="11" t="s">
        <v>5</v>
      </c>
      <c r="L15" s="11" t="s">
        <v>2</v>
      </c>
      <c r="M15" s="6" t="s">
        <v>7</v>
      </c>
      <c r="N15" s="6" t="s">
        <v>8</v>
      </c>
      <c r="O15" s="30" t="s">
        <v>4</v>
      </c>
      <c r="P15" s="65" t="s">
        <v>15</v>
      </c>
      <c r="Q15" s="65" t="s">
        <v>16</v>
      </c>
      <c r="R15" s="6" t="s">
        <v>7</v>
      </c>
      <c r="S15" s="6" t="s">
        <v>8</v>
      </c>
      <c r="T15" s="30" t="s">
        <v>4</v>
      </c>
      <c r="U15" s="66" t="s">
        <v>5</v>
      </c>
      <c r="V15" s="66" t="s">
        <v>9</v>
      </c>
      <c r="W15" s="6" t="s">
        <v>7</v>
      </c>
      <c r="X15" s="6" t="s">
        <v>8</v>
      </c>
      <c r="Y15" s="59" t="s">
        <v>10</v>
      </c>
      <c r="Z15" s="59" t="s">
        <v>11</v>
      </c>
    </row>
    <row r="16" spans="2:26" x14ac:dyDescent="0.3">
      <c r="B16" s="7" t="s">
        <v>20</v>
      </c>
      <c r="C16" s="5">
        <v>8</v>
      </c>
      <c r="D16" s="5">
        <v>4</v>
      </c>
      <c r="E16" s="47">
        <v>60</v>
      </c>
      <c r="F16" s="5">
        <v>0</v>
      </c>
      <c r="G16" s="5">
        <v>0</v>
      </c>
      <c r="H16" s="4">
        <f>+E16+I16</f>
        <v>67</v>
      </c>
      <c r="I16" s="4">
        <v>7</v>
      </c>
      <c r="J16" s="47">
        <v>60</v>
      </c>
      <c r="K16" s="14">
        <v>1</v>
      </c>
      <c r="L16" s="14">
        <v>0</v>
      </c>
      <c r="M16" s="4">
        <f>+J16+N16</f>
        <v>65</v>
      </c>
      <c r="N16" s="4">
        <v>5</v>
      </c>
      <c r="O16" s="47">
        <v>63</v>
      </c>
      <c r="P16" s="5">
        <v>1</v>
      </c>
      <c r="Q16" s="5">
        <v>0</v>
      </c>
      <c r="R16" s="4">
        <f>+O16+S16</f>
        <v>67</v>
      </c>
      <c r="S16" s="4">
        <v>4</v>
      </c>
      <c r="T16" s="47">
        <v>63</v>
      </c>
      <c r="U16" s="5"/>
      <c r="V16" s="5">
        <v>1</v>
      </c>
      <c r="W16" s="4">
        <f>+T16+X16</f>
        <v>67</v>
      </c>
      <c r="X16" s="4">
        <v>4</v>
      </c>
      <c r="Y16" s="4">
        <f>+G16+L16+Q16+V16</f>
        <v>1</v>
      </c>
      <c r="Z16" s="13">
        <f>+Y16/(C16+D16)</f>
        <v>8.3333333333333329E-2</v>
      </c>
    </row>
    <row r="17" spans="2:26" x14ac:dyDescent="0.3">
      <c r="B17" s="7" t="s">
        <v>32</v>
      </c>
      <c r="C17" s="5">
        <v>5</v>
      </c>
      <c r="D17" s="5">
        <v>3</v>
      </c>
      <c r="E17" s="47">
        <v>22</v>
      </c>
      <c r="F17" s="5"/>
      <c r="G17" s="5">
        <v>0</v>
      </c>
      <c r="H17" s="4">
        <f>+E17+I17</f>
        <v>25</v>
      </c>
      <c r="I17" s="4">
        <v>3</v>
      </c>
      <c r="J17" s="47">
        <v>22</v>
      </c>
      <c r="K17" s="3"/>
      <c r="L17" s="14">
        <v>0</v>
      </c>
      <c r="M17" s="4">
        <f>+J17+N17</f>
        <v>25</v>
      </c>
      <c r="N17" s="4">
        <v>3</v>
      </c>
      <c r="O17" s="47">
        <v>23</v>
      </c>
      <c r="P17" s="3"/>
      <c r="Q17" s="4">
        <v>0</v>
      </c>
      <c r="R17" s="4">
        <f>+O17+S17</f>
        <v>26</v>
      </c>
      <c r="S17" s="4">
        <v>3</v>
      </c>
      <c r="T17" s="47">
        <v>21</v>
      </c>
      <c r="U17" s="4"/>
      <c r="V17" s="4">
        <v>1</v>
      </c>
      <c r="W17" s="4">
        <f>+T17+X17</f>
        <v>26</v>
      </c>
      <c r="X17" s="4">
        <v>5</v>
      </c>
      <c r="Y17" s="4">
        <f>+G17+L17+Q17+V17</f>
        <v>1</v>
      </c>
      <c r="Z17" s="13">
        <f>+Y17/(C17+D17)</f>
        <v>0.125</v>
      </c>
    </row>
    <row r="18" spans="2:26" x14ac:dyDescent="0.3">
      <c r="B18" s="7" t="s">
        <v>21</v>
      </c>
      <c r="C18" s="5">
        <v>3</v>
      </c>
      <c r="D18" s="5">
        <v>1</v>
      </c>
      <c r="E18" s="47">
        <v>28</v>
      </c>
      <c r="F18" s="5"/>
      <c r="G18" s="5">
        <v>0</v>
      </c>
      <c r="H18" s="4">
        <f>+E18+I18</f>
        <v>37</v>
      </c>
      <c r="I18" s="4">
        <v>9</v>
      </c>
      <c r="J18" s="47">
        <v>31</v>
      </c>
      <c r="K18" s="67"/>
      <c r="L18" s="14">
        <v>0</v>
      </c>
      <c r="M18" s="4">
        <f>+J18+N18</f>
        <v>37</v>
      </c>
      <c r="N18" s="4">
        <v>6</v>
      </c>
      <c r="O18" s="47">
        <v>33</v>
      </c>
      <c r="P18" s="3"/>
      <c r="Q18" s="4">
        <v>0</v>
      </c>
      <c r="R18" s="4">
        <f>+O18+S18</f>
        <v>36</v>
      </c>
      <c r="S18" s="4">
        <v>3</v>
      </c>
      <c r="T18" s="47">
        <v>32</v>
      </c>
      <c r="U18" s="4">
        <v>1</v>
      </c>
      <c r="V18" s="4">
        <v>0</v>
      </c>
      <c r="W18" s="4">
        <f>+T18+X18</f>
        <v>36</v>
      </c>
      <c r="X18" s="4">
        <v>4</v>
      </c>
      <c r="Y18" s="4">
        <f>+G18+L18+Q18+V18</f>
        <v>0</v>
      </c>
      <c r="Z18" s="13">
        <f>+Y18/(C18+D18)</f>
        <v>0</v>
      </c>
    </row>
    <row r="19" spans="2:26" x14ac:dyDescent="0.3">
      <c r="B19" s="7" t="s">
        <v>33</v>
      </c>
      <c r="C19" s="5">
        <v>3</v>
      </c>
      <c r="D19" s="5">
        <v>1</v>
      </c>
      <c r="E19" s="47">
        <v>6</v>
      </c>
      <c r="F19" s="5"/>
      <c r="G19" s="5">
        <v>0</v>
      </c>
      <c r="H19" s="4">
        <f>+E19+I19</f>
        <v>7</v>
      </c>
      <c r="I19" s="4">
        <v>1</v>
      </c>
      <c r="J19" s="47">
        <v>5</v>
      </c>
      <c r="K19" s="3"/>
      <c r="L19" s="14">
        <v>0</v>
      </c>
      <c r="M19" s="4">
        <f>+J19+N19</f>
        <v>6</v>
      </c>
      <c r="N19" s="4">
        <v>1</v>
      </c>
      <c r="O19" s="47">
        <v>5</v>
      </c>
      <c r="P19" s="3"/>
      <c r="Q19" s="4">
        <v>0</v>
      </c>
      <c r="R19" s="4">
        <f>+O19+S19</f>
        <v>6</v>
      </c>
      <c r="S19" s="4">
        <v>1</v>
      </c>
      <c r="T19" s="47">
        <v>6</v>
      </c>
      <c r="U19" s="4"/>
      <c r="V19" s="4">
        <v>1</v>
      </c>
      <c r="W19" s="4">
        <f>+T19+X19</f>
        <v>7</v>
      </c>
      <c r="X19" s="4">
        <v>1</v>
      </c>
      <c r="Y19" s="4">
        <f>+G19+L19+Q19+V19</f>
        <v>1</v>
      </c>
      <c r="Z19" s="13">
        <f>+Y19/(C19+D19)</f>
        <v>0.25</v>
      </c>
    </row>
    <row r="20" spans="2:26" ht="12" customHeight="1" x14ac:dyDescent="0.3">
      <c r="B20" s="18" t="s">
        <v>22</v>
      </c>
      <c r="C20" s="19">
        <v>28</v>
      </c>
      <c r="D20" s="19">
        <f>SUM(D16:D19)</f>
        <v>9</v>
      </c>
      <c r="E20" s="19">
        <f>SUM(E16:E19)</f>
        <v>116</v>
      </c>
      <c r="F20" s="19"/>
      <c r="G20" s="19"/>
      <c r="H20" s="19">
        <f>SUM(H16:H19)</f>
        <v>136</v>
      </c>
      <c r="I20" s="19">
        <f>SUM(I16:I19)</f>
        <v>20</v>
      </c>
      <c r="J20" s="19">
        <f>SUM(J16:J19)</f>
        <v>118</v>
      </c>
      <c r="K20" s="18"/>
      <c r="L20" s="18"/>
      <c r="M20" s="19">
        <f>SUM(M16:M19)</f>
        <v>133</v>
      </c>
      <c r="N20" s="19">
        <f>SUM(N16:N19)</f>
        <v>15</v>
      </c>
      <c r="O20" s="19">
        <f>SUM(O16:O19)</f>
        <v>124</v>
      </c>
      <c r="P20" s="18"/>
      <c r="Q20" s="18"/>
      <c r="R20" s="19">
        <f>SUM(R16:R19)</f>
        <v>135</v>
      </c>
      <c r="S20" s="19">
        <f>SUM(S16:S19)</f>
        <v>11</v>
      </c>
      <c r="T20" s="19">
        <f>SUM(T16:T19)</f>
        <v>122</v>
      </c>
      <c r="U20" s="18"/>
      <c r="V20" s="21">
        <v>3</v>
      </c>
      <c r="W20" s="19">
        <f>SUM(W16:W19)</f>
        <v>136</v>
      </c>
      <c r="X20" s="19">
        <f>SUM(X16:X19)</f>
        <v>14</v>
      </c>
      <c r="Y20" s="77">
        <f>SUM(Y16:Y19)</f>
        <v>3</v>
      </c>
      <c r="Z20" s="21"/>
    </row>
  </sheetData>
  <mergeCells count="4">
    <mergeCell ref="E2:I2"/>
    <mergeCell ref="J2:N2"/>
    <mergeCell ref="O2:S2"/>
    <mergeCell ref="T2:X2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43D5-C578-4731-9CA6-80A8CD41E07E}">
  <dimension ref="A1:O33"/>
  <sheetViews>
    <sheetView topLeftCell="A2" zoomScale="84" zoomScaleNormal="84" workbookViewId="0">
      <selection activeCell="F21" sqref="F21"/>
    </sheetView>
  </sheetViews>
  <sheetFormatPr baseColWidth="10" defaultColWidth="11.44140625" defaultRowHeight="14.4" x14ac:dyDescent="0.3"/>
  <cols>
    <col min="1" max="1" width="15.44140625" customWidth="1"/>
    <col min="2" max="10" width="12.6640625" style="1" customWidth="1"/>
    <col min="11" max="11" width="13.33203125" customWidth="1"/>
    <col min="12" max="12" width="14.33203125" customWidth="1"/>
    <col min="13" max="14" width="13" style="1" customWidth="1"/>
    <col min="15" max="15" width="11.44140625" style="1"/>
  </cols>
  <sheetData>
    <row r="1" spans="1:15" x14ac:dyDescent="0.3">
      <c r="B1" s="76">
        <v>1</v>
      </c>
      <c r="C1" s="76">
        <v>3</v>
      </c>
      <c r="D1" s="76">
        <v>4</v>
      </c>
      <c r="E1" s="76">
        <v>5</v>
      </c>
      <c r="F1" s="76"/>
      <c r="G1" s="76">
        <v>6</v>
      </c>
      <c r="H1" s="76">
        <v>7</v>
      </c>
      <c r="I1" s="4"/>
      <c r="J1" s="4"/>
      <c r="K1" s="3"/>
      <c r="L1" s="3"/>
    </row>
    <row r="2" spans="1:15" s="72" customFormat="1" ht="43.2" x14ac:dyDescent="0.3">
      <c r="A2" s="75" t="s">
        <v>43</v>
      </c>
      <c r="B2" s="71" t="s">
        <v>44</v>
      </c>
      <c r="C2" s="71" t="s">
        <v>45</v>
      </c>
      <c r="D2" s="71" t="s">
        <v>46</v>
      </c>
      <c r="E2" s="71" t="s">
        <v>47</v>
      </c>
      <c r="F2" s="71" t="s">
        <v>48</v>
      </c>
      <c r="G2" s="71" t="s">
        <v>49</v>
      </c>
      <c r="H2" s="71" t="s">
        <v>50</v>
      </c>
      <c r="I2" s="71" t="s">
        <v>51</v>
      </c>
      <c r="J2" s="71" t="s">
        <v>52</v>
      </c>
      <c r="K2" s="59" t="s">
        <v>10</v>
      </c>
      <c r="L2" s="59" t="s">
        <v>11</v>
      </c>
      <c r="M2" s="74" t="s">
        <v>53</v>
      </c>
      <c r="N2" s="74" t="s">
        <v>54</v>
      </c>
      <c r="O2" s="74" t="s">
        <v>55</v>
      </c>
    </row>
    <row r="3" spans="1:15" x14ac:dyDescent="0.3">
      <c r="A3" s="3" t="s">
        <v>12</v>
      </c>
      <c r="B3" s="4">
        <v>50</v>
      </c>
      <c r="C3" s="47">
        <v>4</v>
      </c>
      <c r="D3" s="4">
        <v>3</v>
      </c>
      <c r="E3" s="4">
        <v>3</v>
      </c>
      <c r="F3" s="4">
        <v>5</v>
      </c>
      <c r="G3" s="47">
        <v>5</v>
      </c>
      <c r="H3" s="4">
        <v>8</v>
      </c>
      <c r="I3" s="69"/>
      <c r="J3" s="69"/>
      <c r="K3" s="4">
        <f>ABRIL!Y4</f>
        <v>24</v>
      </c>
      <c r="L3" s="70">
        <f>ABRIL!Z4</f>
        <v>0.58536585365853655</v>
      </c>
      <c r="M3" s="4">
        <f>ABRIL!E4</f>
        <v>254</v>
      </c>
      <c r="N3" s="4">
        <f>ABRIL!J4</f>
        <v>257</v>
      </c>
      <c r="O3" s="4">
        <f>N3-M3</f>
        <v>3</v>
      </c>
    </row>
    <row r="4" spans="1:15" x14ac:dyDescent="0.3">
      <c r="A4" s="15" t="s">
        <v>13</v>
      </c>
      <c r="B4" s="17"/>
      <c r="C4" s="47">
        <v>0</v>
      </c>
      <c r="D4" s="4"/>
      <c r="E4" s="4"/>
      <c r="F4" s="4"/>
      <c r="G4" s="47"/>
      <c r="H4" s="4"/>
      <c r="I4" s="69"/>
      <c r="J4" s="69"/>
      <c r="K4" s="4">
        <f>ABRIL!Y5</f>
        <v>0</v>
      </c>
      <c r="L4" s="4">
        <f>ABRIL!Z5</f>
        <v>0</v>
      </c>
      <c r="M4" s="4">
        <f>ABRIL!E5</f>
        <v>19</v>
      </c>
      <c r="N4" s="4">
        <f>ABRIL!J5</f>
        <v>18</v>
      </c>
      <c r="O4" s="4">
        <f t="shared" ref="O4:O11" si="0">N4-M4</f>
        <v>-1</v>
      </c>
    </row>
    <row r="5" spans="1:15" ht="16.5" customHeight="1" x14ac:dyDescent="0.3">
      <c r="A5" s="3" t="s">
        <v>17</v>
      </c>
      <c r="B5" s="4"/>
      <c r="C5" s="47">
        <v>2</v>
      </c>
      <c r="D5" s="4">
        <v>2</v>
      </c>
      <c r="E5" s="4">
        <v>3</v>
      </c>
      <c r="F5" s="4">
        <v>5</v>
      </c>
      <c r="G5" s="47">
        <v>5</v>
      </c>
      <c r="H5" s="4"/>
      <c r="I5" s="69"/>
      <c r="J5" s="69"/>
      <c r="K5" s="4">
        <f>ABRIL!Y9</f>
        <v>12</v>
      </c>
      <c r="L5" s="70">
        <f>ABRIL!Z9</f>
        <v>0.48</v>
      </c>
      <c r="M5" s="4">
        <f>ABRIL!E9</f>
        <v>138</v>
      </c>
      <c r="N5" s="4">
        <f>ABRIL!J9</f>
        <v>137</v>
      </c>
      <c r="O5" s="4">
        <f t="shared" si="0"/>
        <v>-1</v>
      </c>
    </row>
    <row r="6" spans="1:15" x14ac:dyDescent="0.3">
      <c r="A6" s="3" t="s">
        <v>18</v>
      </c>
      <c r="B6" s="4">
        <v>100</v>
      </c>
      <c r="C6" s="47">
        <v>7</v>
      </c>
      <c r="D6" s="4">
        <v>3</v>
      </c>
      <c r="E6" s="4">
        <v>14</v>
      </c>
      <c r="F6" s="4">
        <v>11</v>
      </c>
      <c r="G6" s="47">
        <v>9</v>
      </c>
      <c r="H6" s="4"/>
      <c r="I6" s="69"/>
      <c r="J6" s="69"/>
      <c r="K6" s="4">
        <f>ABRIL!Y12</f>
        <v>26</v>
      </c>
      <c r="L6" s="70">
        <f>ABRIL!Z12</f>
        <v>0.63414634146341464</v>
      </c>
      <c r="M6" s="4">
        <f>ABRIL!E12</f>
        <v>274</v>
      </c>
      <c r="N6" s="4">
        <f>ABRIL!J12</f>
        <v>290</v>
      </c>
      <c r="O6" s="4">
        <f t="shared" si="0"/>
        <v>16</v>
      </c>
    </row>
    <row r="7" spans="1:15" x14ac:dyDescent="0.3">
      <c r="A7" s="3" t="s">
        <v>42</v>
      </c>
      <c r="B7" s="4"/>
      <c r="C7" s="47"/>
      <c r="D7" s="4"/>
      <c r="E7" s="4">
        <v>2</v>
      </c>
      <c r="F7" s="4"/>
      <c r="G7" s="47"/>
      <c r="H7" s="4"/>
      <c r="I7" s="69"/>
      <c r="J7" s="69"/>
      <c r="K7" s="4"/>
      <c r="L7" s="70"/>
      <c r="M7" s="4">
        <f>ABRIL!E13</f>
        <v>5</v>
      </c>
      <c r="N7" s="4">
        <f>ABRIL!J13</f>
        <v>4</v>
      </c>
      <c r="O7" s="4">
        <f t="shared" si="0"/>
        <v>-1</v>
      </c>
    </row>
    <row r="8" spans="1:15" x14ac:dyDescent="0.3">
      <c r="A8" s="7" t="s">
        <v>20</v>
      </c>
      <c r="B8" s="4"/>
      <c r="C8" s="47">
        <v>0</v>
      </c>
      <c r="D8" s="4">
        <v>0</v>
      </c>
      <c r="E8" s="4">
        <v>0</v>
      </c>
      <c r="F8" s="4">
        <v>0</v>
      </c>
      <c r="G8" s="47"/>
      <c r="H8" s="4"/>
      <c r="I8" s="69"/>
      <c r="J8" s="69"/>
      <c r="K8" s="4"/>
      <c r="L8" s="4"/>
      <c r="M8" s="4">
        <f>ABRIL!E16</f>
        <v>64</v>
      </c>
      <c r="N8" s="4">
        <f>ABRIL!J16</f>
        <v>67</v>
      </c>
      <c r="O8" s="4">
        <f t="shared" si="0"/>
        <v>3</v>
      </c>
    </row>
    <row r="9" spans="1:15" x14ac:dyDescent="0.3">
      <c r="A9" s="7" t="s">
        <v>32</v>
      </c>
      <c r="B9" s="4"/>
      <c r="C9" s="47">
        <v>0</v>
      </c>
      <c r="D9" s="4">
        <v>2</v>
      </c>
      <c r="E9" s="4">
        <v>2</v>
      </c>
      <c r="F9" s="4">
        <v>2</v>
      </c>
      <c r="G9" s="47">
        <v>2</v>
      </c>
      <c r="H9" s="4"/>
      <c r="I9" s="69"/>
      <c r="J9" s="69"/>
      <c r="K9" s="4"/>
      <c r="L9" s="4"/>
      <c r="M9" s="4">
        <f>ABRIL!E17</f>
        <v>21</v>
      </c>
      <c r="N9" s="4">
        <f>ABRIL!J17</f>
        <v>22</v>
      </c>
      <c r="O9" s="4">
        <f t="shared" si="0"/>
        <v>1</v>
      </c>
    </row>
    <row r="10" spans="1:15" x14ac:dyDescent="0.3">
      <c r="A10" s="7" t="s">
        <v>21</v>
      </c>
      <c r="B10" s="4"/>
      <c r="C10" s="47">
        <v>0</v>
      </c>
      <c r="D10" s="4">
        <v>0</v>
      </c>
      <c r="E10" s="4">
        <v>0</v>
      </c>
      <c r="F10" s="4">
        <v>0</v>
      </c>
      <c r="G10" s="47"/>
      <c r="H10" s="4"/>
      <c r="I10" s="69"/>
      <c r="J10" s="69"/>
      <c r="K10" s="4"/>
      <c r="L10" s="4"/>
      <c r="M10" s="4">
        <f>ABRIL!E18</f>
        <v>33</v>
      </c>
      <c r="N10" s="4">
        <f>ABRIL!J18</f>
        <v>31</v>
      </c>
      <c r="O10" s="4">
        <f t="shared" si="0"/>
        <v>-2</v>
      </c>
    </row>
    <row r="11" spans="1:15" x14ac:dyDescent="0.3">
      <c r="A11" s="7" t="s">
        <v>33</v>
      </c>
      <c r="B11" s="4"/>
      <c r="C11" s="47">
        <v>0</v>
      </c>
      <c r="D11" s="4">
        <v>0</v>
      </c>
      <c r="E11" s="4">
        <v>0</v>
      </c>
      <c r="F11" s="4">
        <v>0</v>
      </c>
      <c r="G11" s="47"/>
      <c r="H11" s="4"/>
      <c r="I11" s="69"/>
      <c r="J11" s="69"/>
      <c r="K11" s="4"/>
      <c r="L11" s="4"/>
      <c r="M11" s="4">
        <f>ABRIL!E19</f>
        <v>6</v>
      </c>
      <c r="N11" s="4">
        <f>ABRIL!J19</f>
        <v>4</v>
      </c>
      <c r="O11" s="4">
        <f t="shared" si="0"/>
        <v>-2</v>
      </c>
    </row>
    <row r="13" spans="1:15" s="72" customFormat="1" ht="43.2" x14ac:dyDescent="0.3">
      <c r="A13" s="75" t="s">
        <v>56</v>
      </c>
      <c r="B13" s="71" t="s">
        <v>44</v>
      </c>
      <c r="C13" s="71" t="s">
        <v>45</v>
      </c>
      <c r="D13" s="71" t="s">
        <v>46</v>
      </c>
      <c r="E13" s="71" t="s">
        <v>47</v>
      </c>
      <c r="F13" s="71" t="s">
        <v>48</v>
      </c>
      <c r="G13" s="71" t="s">
        <v>49</v>
      </c>
      <c r="H13" s="71" t="s">
        <v>50</v>
      </c>
      <c r="I13" s="71" t="s">
        <v>51</v>
      </c>
      <c r="J13" s="71" t="s">
        <v>52</v>
      </c>
      <c r="K13" s="59" t="s">
        <v>10</v>
      </c>
      <c r="L13" s="59" t="s">
        <v>11</v>
      </c>
      <c r="M13" s="74" t="s">
        <v>54</v>
      </c>
      <c r="N13" s="74" t="s">
        <v>57</v>
      </c>
      <c r="O13" s="74" t="s">
        <v>55</v>
      </c>
    </row>
    <row r="14" spans="1:15" x14ac:dyDescent="0.3">
      <c r="A14" s="5" t="s">
        <v>12</v>
      </c>
      <c r="B14" s="5"/>
      <c r="C14" s="10"/>
      <c r="D14" s="5"/>
      <c r="E14" s="5"/>
      <c r="F14" s="5"/>
      <c r="G14" s="10"/>
      <c r="H14" s="5"/>
      <c r="I14" s="73"/>
      <c r="J14" s="73"/>
      <c r="K14" s="5"/>
      <c r="L14" s="5"/>
      <c r="M14" s="5">
        <f>N3</f>
        <v>257</v>
      </c>
      <c r="N14" s="5">
        <f>ABRIL!O4</f>
        <v>246</v>
      </c>
      <c r="O14" s="5">
        <f>N14-M14</f>
        <v>-11</v>
      </c>
    </row>
    <row r="15" spans="1:15" x14ac:dyDescent="0.3">
      <c r="A15" s="5" t="s">
        <v>13</v>
      </c>
      <c r="B15" s="5"/>
      <c r="C15" s="10"/>
      <c r="D15" s="5"/>
      <c r="E15" s="5"/>
      <c r="F15" s="5"/>
      <c r="G15" s="10"/>
      <c r="H15" s="5"/>
      <c r="I15" s="73"/>
      <c r="J15" s="73"/>
      <c r="K15" s="5"/>
      <c r="L15" s="5"/>
      <c r="M15" s="5">
        <f t="shared" ref="M15:M22" si="1">N4</f>
        <v>18</v>
      </c>
      <c r="N15" s="5">
        <f>ABRIL!O5</f>
        <v>16</v>
      </c>
      <c r="O15" s="5">
        <f t="shared" ref="O15:O22" si="2">N15-M15</f>
        <v>-2</v>
      </c>
    </row>
    <row r="16" spans="1:15" x14ac:dyDescent="0.3">
      <c r="A16" s="5" t="s">
        <v>17</v>
      </c>
      <c r="B16" s="5"/>
      <c r="C16" s="10"/>
      <c r="D16" s="5"/>
      <c r="E16" s="5"/>
      <c r="F16" s="5"/>
      <c r="G16" s="10"/>
      <c r="H16" s="5"/>
      <c r="I16" s="73"/>
      <c r="J16" s="73"/>
      <c r="K16" s="5"/>
      <c r="L16" s="5"/>
      <c r="M16" s="5">
        <f t="shared" si="1"/>
        <v>137</v>
      </c>
      <c r="N16" s="5">
        <f>ABRIL!O9</f>
        <v>134</v>
      </c>
      <c r="O16" s="5">
        <f t="shared" si="2"/>
        <v>-3</v>
      </c>
    </row>
    <row r="17" spans="1:15" x14ac:dyDescent="0.3">
      <c r="A17" s="5" t="s">
        <v>18</v>
      </c>
      <c r="B17" s="5"/>
      <c r="C17" s="10"/>
      <c r="D17" s="5"/>
      <c r="E17" s="5"/>
      <c r="F17" s="5"/>
      <c r="G17" s="10"/>
      <c r="H17" s="5"/>
      <c r="I17" s="73"/>
      <c r="J17" s="73"/>
      <c r="K17" s="5"/>
      <c r="L17" s="5"/>
      <c r="M17" s="5">
        <f t="shared" si="1"/>
        <v>290</v>
      </c>
      <c r="N17" s="5">
        <f>ABRIL!O12</f>
        <v>268</v>
      </c>
      <c r="O17" s="5">
        <f t="shared" si="2"/>
        <v>-22</v>
      </c>
    </row>
    <row r="18" spans="1:15" x14ac:dyDescent="0.3">
      <c r="A18" s="5" t="s">
        <v>42</v>
      </c>
      <c r="B18" s="5"/>
      <c r="C18" s="10"/>
      <c r="D18" s="5"/>
      <c r="E18" s="5"/>
      <c r="F18" s="5"/>
      <c r="G18" s="10"/>
      <c r="H18" s="5"/>
      <c r="I18" s="73"/>
      <c r="J18" s="73"/>
      <c r="K18" s="5"/>
      <c r="L18" s="5"/>
      <c r="M18" s="5">
        <f t="shared" si="1"/>
        <v>4</v>
      </c>
      <c r="N18" s="5">
        <f>ABRIL!O13</f>
        <v>5</v>
      </c>
      <c r="O18" s="5">
        <f t="shared" si="2"/>
        <v>1</v>
      </c>
    </row>
    <row r="19" spans="1:15" x14ac:dyDescent="0.3">
      <c r="A19" s="5" t="s">
        <v>20</v>
      </c>
      <c r="B19" s="5"/>
      <c r="C19" s="10"/>
      <c r="D19" s="5"/>
      <c r="E19" s="5"/>
      <c r="F19" s="5"/>
      <c r="G19" s="10"/>
      <c r="H19" s="5"/>
      <c r="I19" s="73"/>
      <c r="J19" s="73"/>
      <c r="K19" s="5"/>
      <c r="L19" s="5"/>
      <c r="M19" s="5">
        <f t="shared" si="1"/>
        <v>67</v>
      </c>
      <c r="N19" s="5">
        <f>ABRIL!O16</f>
        <v>68</v>
      </c>
      <c r="O19" s="5">
        <f t="shared" si="2"/>
        <v>1</v>
      </c>
    </row>
    <row r="20" spans="1:15" x14ac:dyDescent="0.3">
      <c r="A20" s="5" t="s">
        <v>32</v>
      </c>
      <c r="B20" s="5"/>
      <c r="C20" s="10"/>
      <c r="D20" s="5"/>
      <c r="E20" s="5"/>
      <c r="F20" s="5"/>
      <c r="G20" s="10"/>
      <c r="H20" s="5"/>
      <c r="I20" s="73"/>
      <c r="J20" s="73"/>
      <c r="K20" s="5"/>
      <c r="L20" s="5"/>
      <c r="M20" s="5">
        <f t="shared" si="1"/>
        <v>22</v>
      </c>
      <c r="N20" s="5">
        <f>ABRIL!O17</f>
        <v>28</v>
      </c>
      <c r="O20" s="5">
        <f t="shared" si="2"/>
        <v>6</v>
      </c>
    </row>
    <row r="21" spans="1:15" x14ac:dyDescent="0.3">
      <c r="A21" s="5" t="s">
        <v>21</v>
      </c>
      <c r="B21" s="5"/>
      <c r="C21" s="10"/>
      <c r="D21" s="5"/>
      <c r="E21" s="5"/>
      <c r="F21" s="5"/>
      <c r="G21" s="10"/>
      <c r="H21" s="5"/>
      <c r="I21" s="73"/>
      <c r="J21" s="73"/>
      <c r="K21" s="5"/>
      <c r="L21" s="5"/>
      <c r="M21" s="5">
        <f t="shared" si="1"/>
        <v>31</v>
      </c>
      <c r="N21" s="5">
        <f>ABRIL!O18</f>
        <v>33</v>
      </c>
      <c r="O21" s="5">
        <f t="shared" si="2"/>
        <v>2</v>
      </c>
    </row>
    <row r="22" spans="1:15" x14ac:dyDescent="0.3">
      <c r="A22" s="5" t="s">
        <v>33</v>
      </c>
      <c r="B22" s="5"/>
      <c r="C22" s="10"/>
      <c r="D22" s="5"/>
      <c r="E22" s="5"/>
      <c r="F22" s="5"/>
      <c r="G22" s="10"/>
      <c r="H22" s="5"/>
      <c r="I22" s="73"/>
      <c r="J22" s="73"/>
      <c r="K22" s="5"/>
      <c r="L22" s="5"/>
      <c r="M22" s="5">
        <f t="shared" si="1"/>
        <v>4</v>
      </c>
      <c r="N22" s="5">
        <f>ABRIL!O19</f>
        <v>4</v>
      </c>
      <c r="O22" s="5">
        <f t="shared" si="2"/>
        <v>0</v>
      </c>
    </row>
    <row r="24" spans="1:15" ht="43.2" x14ac:dyDescent="0.3">
      <c r="A24" s="75" t="s">
        <v>58</v>
      </c>
      <c r="B24" s="71" t="s">
        <v>44</v>
      </c>
      <c r="C24" s="71" t="s">
        <v>45</v>
      </c>
      <c r="D24" s="71" t="s">
        <v>46</v>
      </c>
      <c r="E24" s="71" t="s">
        <v>47</v>
      </c>
      <c r="F24" s="71" t="s">
        <v>48</v>
      </c>
      <c r="G24" s="71" t="s">
        <v>49</v>
      </c>
      <c r="H24" s="71" t="s">
        <v>50</v>
      </c>
      <c r="I24" s="71" t="s">
        <v>51</v>
      </c>
      <c r="J24" s="71" t="s">
        <v>52</v>
      </c>
      <c r="K24" s="59" t="s">
        <v>10</v>
      </c>
      <c r="L24" s="59" t="s">
        <v>11</v>
      </c>
      <c r="M24" s="74" t="s">
        <v>57</v>
      </c>
      <c r="N24" s="74" t="s">
        <v>59</v>
      </c>
      <c r="O24" s="74" t="s">
        <v>55</v>
      </c>
    </row>
    <row r="25" spans="1:15" x14ac:dyDescent="0.3">
      <c r="A25" s="5" t="s">
        <v>12</v>
      </c>
      <c r="B25" s="5"/>
      <c r="C25" s="10"/>
      <c r="D25" s="5"/>
      <c r="E25" s="5"/>
      <c r="F25" s="5"/>
      <c r="G25" s="10"/>
      <c r="H25" s="5"/>
      <c r="I25" s="73"/>
      <c r="J25" s="73"/>
      <c r="K25" s="5"/>
      <c r="L25" s="5"/>
      <c r="M25" s="5">
        <f t="shared" ref="M25:M33" si="3">N14</f>
        <v>246</v>
      </c>
      <c r="N25" s="5">
        <f>ABRIL!T4</f>
        <v>245</v>
      </c>
      <c r="O25" s="5">
        <f>N25-M25</f>
        <v>-1</v>
      </c>
    </row>
    <row r="26" spans="1:15" x14ac:dyDescent="0.3">
      <c r="A26" s="5" t="s">
        <v>13</v>
      </c>
      <c r="B26" s="5"/>
      <c r="C26" s="10"/>
      <c r="D26" s="5"/>
      <c r="E26" s="5"/>
      <c r="F26" s="5"/>
      <c r="G26" s="10"/>
      <c r="H26" s="5"/>
      <c r="I26" s="73"/>
      <c r="J26" s="73"/>
      <c r="K26" s="5"/>
      <c r="L26" s="5"/>
      <c r="M26" s="5">
        <f t="shared" si="3"/>
        <v>16</v>
      </c>
      <c r="N26" s="5">
        <f>ABRIL!T5</f>
        <v>17</v>
      </c>
      <c r="O26" s="5">
        <f t="shared" ref="O26:O33" si="4">N26-M26</f>
        <v>1</v>
      </c>
    </row>
    <row r="27" spans="1:15" x14ac:dyDescent="0.3">
      <c r="A27" s="5" t="s">
        <v>17</v>
      </c>
      <c r="B27" s="5"/>
      <c r="C27" s="10"/>
      <c r="D27" s="5"/>
      <c r="E27" s="5"/>
      <c r="F27" s="5"/>
      <c r="G27" s="10"/>
      <c r="H27" s="5"/>
      <c r="I27" s="73"/>
      <c r="J27" s="73"/>
      <c r="K27" s="5"/>
      <c r="L27" s="5"/>
      <c r="M27" s="5">
        <f t="shared" si="3"/>
        <v>134</v>
      </c>
      <c r="N27" s="5">
        <f>ABRIL!T9</f>
        <v>133</v>
      </c>
      <c r="O27" s="5">
        <f t="shared" si="4"/>
        <v>-1</v>
      </c>
    </row>
    <row r="28" spans="1:15" x14ac:dyDescent="0.3">
      <c r="A28" s="5" t="s">
        <v>18</v>
      </c>
      <c r="B28" s="5"/>
      <c r="C28" s="10"/>
      <c r="D28" s="5"/>
      <c r="E28" s="5"/>
      <c r="F28" s="5"/>
      <c r="G28" s="10"/>
      <c r="H28" s="5"/>
      <c r="I28" s="73"/>
      <c r="J28" s="73"/>
      <c r="K28" s="5"/>
      <c r="L28" s="5"/>
      <c r="M28" s="5">
        <f t="shared" si="3"/>
        <v>268</v>
      </c>
      <c r="N28" s="5">
        <f>ABRIL!T12</f>
        <v>276</v>
      </c>
      <c r="O28" s="5">
        <f t="shared" si="4"/>
        <v>8</v>
      </c>
    </row>
    <row r="29" spans="1:15" x14ac:dyDescent="0.3">
      <c r="A29" s="5" t="s">
        <v>42</v>
      </c>
      <c r="B29" s="5"/>
      <c r="C29" s="10"/>
      <c r="D29" s="5"/>
      <c r="E29" s="5"/>
      <c r="F29" s="5"/>
      <c r="G29" s="10"/>
      <c r="H29" s="5"/>
      <c r="I29" s="73"/>
      <c r="J29" s="73"/>
      <c r="K29" s="5"/>
      <c r="L29" s="5"/>
      <c r="M29" s="5">
        <f t="shared" si="3"/>
        <v>5</v>
      </c>
      <c r="N29" s="5">
        <f>ABRIL!T13</f>
        <v>5</v>
      </c>
      <c r="O29" s="5">
        <f t="shared" si="4"/>
        <v>0</v>
      </c>
    </row>
    <row r="30" spans="1:15" x14ac:dyDescent="0.3">
      <c r="A30" s="5" t="s">
        <v>20</v>
      </c>
      <c r="B30" s="5"/>
      <c r="C30" s="10"/>
      <c r="D30" s="5"/>
      <c r="E30" s="5"/>
      <c r="F30" s="5"/>
      <c r="G30" s="10"/>
      <c r="H30" s="5"/>
      <c r="I30" s="73"/>
      <c r="J30" s="73"/>
      <c r="K30" s="5"/>
      <c r="L30" s="5"/>
      <c r="M30" s="5">
        <f t="shared" si="3"/>
        <v>68</v>
      </c>
      <c r="N30" s="5">
        <f>ABRIL!T16</f>
        <v>66</v>
      </c>
      <c r="O30" s="5">
        <f t="shared" si="4"/>
        <v>-2</v>
      </c>
    </row>
    <row r="31" spans="1:15" x14ac:dyDescent="0.3">
      <c r="A31" s="5" t="s">
        <v>32</v>
      </c>
      <c r="B31" s="5"/>
      <c r="C31" s="10"/>
      <c r="D31" s="5"/>
      <c r="E31" s="5"/>
      <c r="F31" s="5"/>
      <c r="G31" s="10"/>
      <c r="H31" s="5"/>
      <c r="I31" s="73"/>
      <c r="J31" s="73"/>
      <c r="K31" s="5"/>
      <c r="L31" s="5"/>
      <c r="M31" s="5">
        <f t="shared" si="3"/>
        <v>28</v>
      </c>
      <c r="N31" s="5">
        <f>ABRIL!T17</f>
        <v>26</v>
      </c>
      <c r="O31" s="5">
        <f t="shared" si="4"/>
        <v>-2</v>
      </c>
    </row>
    <row r="32" spans="1:15" x14ac:dyDescent="0.3">
      <c r="A32" s="5" t="s">
        <v>21</v>
      </c>
      <c r="B32" s="5"/>
      <c r="C32" s="10"/>
      <c r="D32" s="5"/>
      <c r="E32" s="5"/>
      <c r="F32" s="5"/>
      <c r="G32" s="10"/>
      <c r="H32" s="5"/>
      <c r="I32" s="73"/>
      <c r="J32" s="73"/>
      <c r="K32" s="5"/>
      <c r="L32" s="5"/>
      <c r="M32" s="5">
        <f t="shared" si="3"/>
        <v>33</v>
      </c>
      <c r="N32" s="5">
        <f>ABRIL!T18</f>
        <v>36</v>
      </c>
      <c r="O32" s="5">
        <f t="shared" si="4"/>
        <v>3</v>
      </c>
    </row>
    <row r="33" spans="1:15" x14ac:dyDescent="0.3">
      <c r="A33" s="5" t="s">
        <v>33</v>
      </c>
      <c r="B33" s="5"/>
      <c r="C33" s="10"/>
      <c r="D33" s="5"/>
      <c r="E33" s="5"/>
      <c r="F33" s="5"/>
      <c r="G33" s="10"/>
      <c r="H33" s="5"/>
      <c r="I33" s="73"/>
      <c r="J33" s="73"/>
      <c r="K33" s="5"/>
      <c r="L33" s="5"/>
      <c r="M33" s="5">
        <f t="shared" si="3"/>
        <v>4</v>
      </c>
      <c r="N33" s="5">
        <f>ABRIL!T19</f>
        <v>4</v>
      </c>
      <c r="O33" s="5">
        <f t="shared" si="4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E58A-0E82-437D-BA4B-C8FCCEC1B325}">
  <dimension ref="B2:V47"/>
  <sheetViews>
    <sheetView showGridLines="0" zoomScale="90" zoomScaleNormal="90" workbookViewId="0">
      <pane xSplit="9" ySplit="2" topLeftCell="Q3" activePane="bottomRight" state="frozen"/>
      <selection pane="topRight" activeCell="J1" sqref="J1"/>
      <selection pane="bottomLeft" activeCell="A3" sqref="A3"/>
      <selection pane="bottomRight" activeCell="R2" sqref="R2:V3"/>
    </sheetView>
  </sheetViews>
  <sheetFormatPr baseColWidth="10" defaultColWidth="11.44140625" defaultRowHeight="14.4" x14ac:dyDescent="0.3"/>
  <cols>
    <col min="2" max="2" width="25.44140625" customWidth="1"/>
    <col min="3" max="3" width="9.33203125" style="1" customWidth="1"/>
    <col min="4" max="7" width="11.44140625" style="1" customWidth="1"/>
    <col min="8" max="8" width="20" bestFit="1" customWidth="1"/>
    <col min="9" max="9" width="25.44140625" customWidth="1"/>
    <col min="10" max="10" width="9.33203125" style="1" customWidth="1"/>
    <col min="11" max="14" width="11.44140625" style="1"/>
    <col min="16" max="16" width="15.44140625" customWidth="1"/>
    <col min="17" max="17" width="7.44140625" customWidth="1"/>
    <col min="18" max="22" width="11.44140625" style="1"/>
  </cols>
  <sheetData>
    <row r="2" spans="2:22" x14ac:dyDescent="0.3">
      <c r="B2" s="16" t="s">
        <v>0</v>
      </c>
      <c r="C2" s="22" t="s">
        <v>60</v>
      </c>
      <c r="D2" s="22" t="s">
        <v>61</v>
      </c>
      <c r="E2" s="22" t="s">
        <v>62</v>
      </c>
      <c r="F2" s="22" t="s">
        <v>63</v>
      </c>
      <c r="G2" s="26" t="s">
        <v>64</v>
      </c>
      <c r="I2" s="16" t="s">
        <v>0</v>
      </c>
      <c r="J2" s="22" t="s">
        <v>60</v>
      </c>
      <c r="K2" s="22" t="s">
        <v>61</v>
      </c>
      <c r="L2" s="22" t="s">
        <v>62</v>
      </c>
      <c r="M2" s="22" t="s">
        <v>63</v>
      </c>
      <c r="N2" s="26" t="s">
        <v>64</v>
      </c>
      <c r="P2" s="16" t="s">
        <v>0</v>
      </c>
      <c r="R2" s="123" t="s">
        <v>65</v>
      </c>
      <c r="S2" s="26" t="s">
        <v>66</v>
      </c>
      <c r="T2" s="22" t="s">
        <v>67</v>
      </c>
      <c r="U2" s="26" t="s">
        <v>68</v>
      </c>
      <c r="V2" s="122">
        <v>38322</v>
      </c>
    </row>
    <row r="3" spans="2:22" x14ac:dyDescent="0.3">
      <c r="B3" s="48" t="s">
        <v>12</v>
      </c>
      <c r="C3" s="23">
        <f>+[1]Afiliacion!E3</f>
        <v>254</v>
      </c>
      <c r="D3" s="23">
        <v>280</v>
      </c>
      <c r="E3" s="23">
        <v>320</v>
      </c>
      <c r="F3" s="23">
        <v>360</v>
      </c>
      <c r="G3" s="27">
        <v>400</v>
      </c>
      <c r="I3" s="48" t="s">
        <v>12</v>
      </c>
      <c r="J3" s="23">
        <v>254</v>
      </c>
      <c r="K3" s="23">
        <v>280</v>
      </c>
      <c r="L3" s="23">
        <v>320</v>
      </c>
      <c r="M3" s="23">
        <v>360</v>
      </c>
      <c r="N3" s="27">
        <v>400</v>
      </c>
      <c r="P3" s="48" t="s">
        <v>12</v>
      </c>
      <c r="Q3">
        <v>290</v>
      </c>
      <c r="R3" s="125">
        <v>320</v>
      </c>
      <c r="S3" s="27">
        <v>360</v>
      </c>
      <c r="T3" s="23">
        <v>380</v>
      </c>
      <c r="U3" s="27">
        <v>420</v>
      </c>
      <c r="V3" s="27">
        <v>420</v>
      </c>
    </row>
    <row r="4" spans="2:22" x14ac:dyDescent="0.3">
      <c r="B4" s="138"/>
      <c r="C4" s="139"/>
      <c r="D4" s="139"/>
      <c r="E4" s="139"/>
      <c r="F4" s="139"/>
      <c r="G4" s="140"/>
      <c r="I4" s="138"/>
      <c r="J4" s="139"/>
      <c r="K4" s="139"/>
      <c r="L4" s="139"/>
      <c r="M4" s="139"/>
      <c r="N4" s="140"/>
      <c r="P4" s="138"/>
      <c r="R4" s="141"/>
      <c r="S4" s="140"/>
      <c r="T4" s="139"/>
      <c r="U4" s="140"/>
      <c r="V4" s="140"/>
    </row>
    <row r="5" spans="2:22" x14ac:dyDescent="0.3">
      <c r="B5" s="49" t="s">
        <v>13</v>
      </c>
      <c r="C5" s="25">
        <f>+[1]Afiliacion!E4</f>
        <v>16</v>
      </c>
      <c r="D5" s="25">
        <v>20</v>
      </c>
      <c r="E5" s="25">
        <v>30</v>
      </c>
      <c r="F5" s="25">
        <v>32</v>
      </c>
      <c r="G5" s="29">
        <v>36</v>
      </c>
      <c r="I5" s="49" t="s">
        <v>13</v>
      </c>
      <c r="J5" s="25">
        <v>16</v>
      </c>
      <c r="K5" s="25">
        <v>20</v>
      </c>
      <c r="L5" s="25">
        <v>30</v>
      </c>
      <c r="M5" s="25">
        <v>32</v>
      </c>
      <c r="N5" s="29">
        <v>36</v>
      </c>
      <c r="P5" s="49" t="s">
        <v>13</v>
      </c>
      <c r="R5" s="124">
        <v>32</v>
      </c>
      <c r="S5" s="29">
        <v>36</v>
      </c>
      <c r="T5" s="25">
        <v>32</v>
      </c>
      <c r="U5" s="29">
        <v>36</v>
      </c>
      <c r="V5" s="29">
        <v>36</v>
      </c>
    </row>
    <row r="6" spans="2:22" x14ac:dyDescent="0.3">
      <c r="B6" t="s">
        <v>69</v>
      </c>
      <c r="C6" s="39">
        <v>0.06</v>
      </c>
      <c r="D6" s="39">
        <v>0.02</v>
      </c>
      <c r="E6" s="39">
        <v>0.03</v>
      </c>
      <c r="F6" s="39">
        <v>0.03</v>
      </c>
      <c r="G6" s="39">
        <v>0.03</v>
      </c>
      <c r="I6" t="s">
        <v>69</v>
      </c>
      <c r="J6" s="39">
        <v>0.06</v>
      </c>
      <c r="K6" s="39">
        <v>0.02</v>
      </c>
      <c r="L6" s="39">
        <v>0.03</v>
      </c>
      <c r="M6" s="39">
        <v>0.03</v>
      </c>
      <c r="N6" s="39">
        <v>0.03</v>
      </c>
      <c r="P6" t="s">
        <v>69</v>
      </c>
      <c r="R6" s="39"/>
      <c r="S6" s="39"/>
      <c r="T6" s="39"/>
      <c r="U6" s="39"/>
      <c r="V6" s="39"/>
    </row>
    <row r="7" spans="2:22" x14ac:dyDescent="0.3">
      <c r="B7" s="34" t="s">
        <v>70</v>
      </c>
      <c r="D7" s="35"/>
      <c r="I7" s="34" t="s">
        <v>70</v>
      </c>
      <c r="K7" s="35"/>
      <c r="P7" s="34" t="s">
        <v>70</v>
      </c>
      <c r="R7" s="1">
        <v>284</v>
      </c>
      <c r="S7" s="1">
        <f>76-44</f>
        <v>32</v>
      </c>
      <c r="U7" s="1">
        <v>289</v>
      </c>
    </row>
    <row r="8" spans="2:22" x14ac:dyDescent="0.3">
      <c r="B8" s="32" t="s">
        <v>12</v>
      </c>
      <c r="C8" s="33"/>
      <c r="D8" s="40">
        <f>+D3-C3+(C3*C6)</f>
        <v>41.24</v>
      </c>
      <c r="E8" s="40">
        <f>+E3-D3+(D3*D6)</f>
        <v>45.6</v>
      </c>
      <c r="F8" s="40">
        <f>+F3-E3+(E3*E6)</f>
        <v>49.6</v>
      </c>
      <c r="G8" s="40">
        <f>+G3-F3+(F3*F6)</f>
        <v>50.8</v>
      </c>
      <c r="I8" s="32" t="s">
        <v>12</v>
      </c>
      <c r="J8" s="33"/>
      <c r="K8" s="40">
        <v>41.24</v>
      </c>
      <c r="L8" s="40">
        <v>45.6</v>
      </c>
      <c r="M8" s="40">
        <v>49.6</v>
      </c>
      <c r="N8" s="40">
        <v>65</v>
      </c>
      <c r="O8" s="128"/>
      <c r="P8" s="32" t="s">
        <v>12</v>
      </c>
      <c r="Q8" s="129">
        <v>275</v>
      </c>
      <c r="R8" s="131">
        <f>320-R7</f>
        <v>36</v>
      </c>
      <c r="S8" s="33">
        <f>360-284</f>
        <v>76</v>
      </c>
      <c r="T8" s="40">
        <v>52</v>
      </c>
      <c r="U8" s="40">
        <f>((420-380)+(52-12))*0.7</f>
        <v>56</v>
      </c>
      <c r="V8" s="40">
        <f>((420-420) + 56-17)*0.7</f>
        <v>27.299999999999997</v>
      </c>
    </row>
    <row r="9" spans="2:22" x14ac:dyDescent="0.3">
      <c r="B9" s="36" t="s">
        <v>13</v>
      </c>
      <c r="C9" s="37"/>
      <c r="D9" s="37">
        <f>+D5-C5</f>
        <v>4</v>
      </c>
      <c r="E9" s="37">
        <f>+E5-D5</f>
        <v>10</v>
      </c>
      <c r="F9" s="37">
        <f>+F5-E5</f>
        <v>2</v>
      </c>
      <c r="G9" s="38">
        <f>+G5-F5</f>
        <v>4</v>
      </c>
      <c r="I9" s="36" t="s">
        <v>13</v>
      </c>
      <c r="J9" s="37"/>
      <c r="K9" s="37">
        <v>4</v>
      </c>
      <c r="L9" s="37">
        <v>10</v>
      </c>
      <c r="M9" s="37">
        <v>2</v>
      </c>
      <c r="N9" s="38">
        <v>4</v>
      </c>
      <c r="P9" s="36" t="s">
        <v>13</v>
      </c>
      <c r="R9" s="135">
        <v>5</v>
      </c>
      <c r="S9" s="37">
        <v>9</v>
      </c>
      <c r="T9" s="37">
        <v>9</v>
      </c>
      <c r="U9" s="37">
        <v>8</v>
      </c>
      <c r="V9" s="37">
        <v>8</v>
      </c>
    </row>
    <row r="10" spans="2:22" x14ac:dyDescent="0.3">
      <c r="C10"/>
      <c r="D10"/>
      <c r="E10"/>
      <c r="F10"/>
      <c r="G10"/>
      <c r="J10"/>
      <c r="K10"/>
      <c r="L10" s="1">
        <v>22</v>
      </c>
      <c r="M10" s="1">
        <v>41</v>
      </c>
      <c r="N10"/>
    </row>
    <row r="11" spans="2:22" hidden="1" x14ac:dyDescent="0.3">
      <c r="C11"/>
      <c r="D11"/>
      <c r="E11"/>
      <c r="F11"/>
      <c r="G11"/>
      <c r="H11" t="s">
        <v>71</v>
      </c>
      <c r="I11" s="32" t="s">
        <v>12</v>
      </c>
      <c r="J11" s="33"/>
      <c r="K11" s="40">
        <f>+K8-36</f>
        <v>5.240000000000002</v>
      </c>
      <c r="L11" s="78"/>
      <c r="M11" s="40"/>
      <c r="N11" s="78">
        <f>+N8+O11</f>
        <v>65</v>
      </c>
      <c r="P11" s="32" t="s">
        <v>12</v>
      </c>
    </row>
    <row r="12" spans="2:22" hidden="1" x14ac:dyDescent="0.3">
      <c r="B12" s="50" t="s">
        <v>17</v>
      </c>
      <c r="C12" s="24">
        <f>+[1]Afiliacion!E8</f>
        <v>133</v>
      </c>
      <c r="D12" s="24">
        <v>160</v>
      </c>
      <c r="E12" s="24">
        <v>160</v>
      </c>
      <c r="F12" s="24">
        <v>170</v>
      </c>
      <c r="G12" s="28">
        <v>170</v>
      </c>
      <c r="I12" s="36" t="s">
        <v>13</v>
      </c>
      <c r="J12" s="37"/>
      <c r="K12" s="37">
        <v>4</v>
      </c>
      <c r="L12" s="79">
        <f>+K12+L9-9</f>
        <v>5</v>
      </c>
      <c r="M12" s="37">
        <v>2</v>
      </c>
      <c r="N12" s="38">
        <v>4</v>
      </c>
      <c r="P12" s="36" t="s">
        <v>13</v>
      </c>
    </row>
    <row r="13" spans="2:22" hidden="1" x14ac:dyDescent="0.3">
      <c r="B13" t="s">
        <v>69</v>
      </c>
      <c r="C13" s="39"/>
      <c r="D13" s="39">
        <v>0.02</v>
      </c>
      <c r="E13" s="39">
        <v>0.05</v>
      </c>
      <c r="F13" s="39">
        <v>0.05</v>
      </c>
      <c r="G13" s="39">
        <v>0.05</v>
      </c>
    </row>
    <row r="14" spans="2:22" hidden="1" x14ac:dyDescent="0.3">
      <c r="B14" s="34" t="s">
        <v>70</v>
      </c>
      <c r="D14" s="35"/>
    </row>
    <row r="15" spans="2:22" x14ac:dyDescent="0.3">
      <c r="B15" s="32" t="s">
        <v>72</v>
      </c>
      <c r="C15" s="33"/>
      <c r="D15" s="40">
        <f>+D12-C12+(D12*D13)</f>
        <v>30.2</v>
      </c>
      <c r="E15" s="40">
        <f>+E12-D12+(E12*E13)</f>
        <v>8</v>
      </c>
      <c r="F15" s="40">
        <f t="shared" ref="F15:G15" si="0">+F12-E12+(F12*F13)</f>
        <v>18.5</v>
      </c>
      <c r="G15" s="40">
        <f t="shared" si="0"/>
        <v>8.5</v>
      </c>
      <c r="J15"/>
      <c r="K15"/>
      <c r="L15"/>
      <c r="M15"/>
      <c r="N15"/>
      <c r="R15"/>
      <c r="S15">
        <f>13-26</f>
        <v>-13</v>
      </c>
      <c r="T15"/>
      <c r="U15"/>
      <c r="V15"/>
    </row>
    <row r="16" spans="2:22" x14ac:dyDescent="0.3">
      <c r="C16"/>
      <c r="D16"/>
      <c r="E16"/>
      <c r="F16"/>
      <c r="G16"/>
      <c r="I16" s="50" t="s">
        <v>17</v>
      </c>
      <c r="J16" s="24">
        <v>133</v>
      </c>
      <c r="K16" s="24">
        <v>160</v>
      </c>
      <c r="L16" s="24">
        <v>160</v>
      </c>
      <c r="M16" s="24">
        <v>170</v>
      </c>
      <c r="N16" s="28">
        <v>170</v>
      </c>
      <c r="P16" s="50" t="s">
        <v>17</v>
      </c>
      <c r="Q16">
        <v>158</v>
      </c>
      <c r="R16" s="126">
        <v>180</v>
      </c>
      <c r="S16" s="28">
        <v>210</v>
      </c>
      <c r="T16" s="28">
        <v>210</v>
      </c>
      <c r="U16" s="28">
        <v>210</v>
      </c>
      <c r="V16" s="28">
        <v>210</v>
      </c>
    </row>
    <row r="17" spans="2:22" x14ac:dyDescent="0.3">
      <c r="B17" s="51"/>
      <c r="C17" s="24"/>
      <c r="D17" s="24"/>
      <c r="E17" s="24"/>
      <c r="F17" s="24"/>
      <c r="G17" s="28"/>
      <c r="I17" t="s">
        <v>69</v>
      </c>
      <c r="J17" s="39"/>
      <c r="K17" s="39">
        <v>0.02</v>
      </c>
      <c r="L17" s="39">
        <v>0.05</v>
      </c>
      <c r="M17" s="39">
        <v>0.05</v>
      </c>
      <c r="N17" s="39">
        <v>0.05</v>
      </c>
      <c r="R17" s="39"/>
      <c r="S17" s="39"/>
      <c r="T17" s="39"/>
      <c r="U17" s="39"/>
      <c r="V17" s="39"/>
    </row>
    <row r="18" spans="2:22" x14ac:dyDescent="0.3">
      <c r="C18" s="39"/>
      <c r="D18" s="39"/>
      <c r="E18" s="39"/>
      <c r="F18" s="39"/>
      <c r="G18" s="39"/>
      <c r="I18" s="34" t="s">
        <v>70</v>
      </c>
      <c r="K18" s="35"/>
      <c r="P18" s="34" t="s">
        <v>70</v>
      </c>
    </row>
    <row r="19" spans="2:22" x14ac:dyDescent="0.3">
      <c r="B19" s="34"/>
      <c r="D19" s="35"/>
      <c r="I19" s="32" t="s">
        <v>72</v>
      </c>
      <c r="J19" s="33"/>
      <c r="K19" s="40">
        <v>25</v>
      </c>
      <c r="L19" s="40">
        <f>8+5</f>
        <v>13</v>
      </c>
      <c r="M19" s="40">
        <v>44</v>
      </c>
      <c r="N19" s="40">
        <f>8.5+25</f>
        <v>33.5</v>
      </c>
      <c r="O19" t="s">
        <v>73</v>
      </c>
      <c r="P19" s="32" t="s">
        <v>72</v>
      </c>
      <c r="Q19">
        <v>194</v>
      </c>
      <c r="R19" s="130">
        <f>+R16-Q16</f>
        <v>22</v>
      </c>
      <c r="S19" s="130">
        <v>26</v>
      </c>
      <c r="T19" s="130">
        <v>26</v>
      </c>
      <c r="U19" s="130">
        <f>U16-Q19+3</f>
        <v>19</v>
      </c>
      <c r="V19" s="130">
        <f>V16-Q19+12</f>
        <v>28</v>
      </c>
    </row>
    <row r="20" spans="2:22" hidden="1" x14ac:dyDescent="0.3">
      <c r="B20" s="32"/>
      <c r="C20" s="33"/>
      <c r="D20" s="40"/>
      <c r="E20" s="40"/>
      <c r="F20" s="40"/>
      <c r="G20" s="40"/>
      <c r="J20"/>
      <c r="K20"/>
      <c r="L20"/>
      <c r="M20"/>
      <c r="N20"/>
      <c r="R20"/>
      <c r="S20"/>
      <c r="T20"/>
      <c r="U20"/>
      <c r="V20"/>
    </row>
    <row r="21" spans="2:22" hidden="1" x14ac:dyDescent="0.3">
      <c r="B21" s="80"/>
      <c r="C21" s="81"/>
      <c r="D21" s="82"/>
      <c r="E21" s="82"/>
      <c r="F21" s="82"/>
      <c r="G21" s="82"/>
      <c r="I21" s="34" t="s">
        <v>70</v>
      </c>
      <c r="K21" s="35"/>
      <c r="P21" s="34" t="s">
        <v>70</v>
      </c>
    </row>
    <row r="22" spans="2:22" hidden="1" x14ac:dyDescent="0.3">
      <c r="B22" s="80"/>
      <c r="C22" s="81"/>
      <c r="D22" s="82"/>
      <c r="E22" s="82"/>
      <c r="F22" s="82"/>
      <c r="G22" s="82"/>
      <c r="I22" s="32" t="s">
        <v>72</v>
      </c>
      <c r="J22" s="33"/>
      <c r="K22" s="40">
        <f>+K19-22</f>
        <v>3</v>
      </c>
      <c r="L22" s="78">
        <f>+K22+L19</f>
        <v>16</v>
      </c>
      <c r="M22" s="40">
        <v>18.5</v>
      </c>
      <c r="N22" s="40">
        <v>8.5</v>
      </c>
      <c r="P22" s="32" t="s">
        <v>72</v>
      </c>
    </row>
    <row r="23" spans="2:22" hidden="1" x14ac:dyDescent="0.3">
      <c r="B23" s="80"/>
      <c r="C23" s="81"/>
      <c r="D23" s="82"/>
      <c r="E23" s="82"/>
      <c r="F23" s="82"/>
      <c r="G23" s="82"/>
      <c r="J23"/>
      <c r="K23"/>
      <c r="L23"/>
      <c r="M23"/>
      <c r="N23"/>
    </row>
    <row r="24" spans="2:22" x14ac:dyDescent="0.3">
      <c r="B24" s="80"/>
      <c r="C24" s="81"/>
      <c r="D24" s="82"/>
      <c r="E24" s="82"/>
      <c r="F24" s="82"/>
      <c r="G24" s="82"/>
      <c r="J24"/>
      <c r="K24"/>
      <c r="L24"/>
      <c r="M24"/>
      <c r="N24"/>
      <c r="R24"/>
      <c r="S24">
        <f>17-40</f>
        <v>-23</v>
      </c>
      <c r="T24"/>
      <c r="U24"/>
      <c r="V24"/>
    </row>
    <row r="25" spans="2:22" x14ac:dyDescent="0.3">
      <c r="C25"/>
      <c r="D25"/>
      <c r="E25"/>
      <c r="F25"/>
      <c r="G25"/>
      <c r="I25" s="51" t="s">
        <v>18</v>
      </c>
      <c r="J25" s="24">
        <v>294</v>
      </c>
      <c r="K25" s="24">
        <v>300</v>
      </c>
      <c r="L25" s="24">
        <v>310</v>
      </c>
      <c r="M25" s="24">
        <v>310</v>
      </c>
      <c r="N25" s="28">
        <v>320</v>
      </c>
      <c r="P25" s="51" t="s">
        <v>18</v>
      </c>
      <c r="Q25">
        <v>291</v>
      </c>
      <c r="R25" s="127">
        <v>280</v>
      </c>
      <c r="S25" s="28">
        <v>300</v>
      </c>
      <c r="T25" s="24">
        <v>310</v>
      </c>
      <c r="U25" s="28">
        <v>310</v>
      </c>
      <c r="V25" s="28">
        <v>320</v>
      </c>
    </row>
    <row r="26" spans="2:22" x14ac:dyDescent="0.3">
      <c r="B26" s="52"/>
      <c r="C26" s="23"/>
      <c r="D26" s="23"/>
      <c r="E26" s="23"/>
      <c r="F26" s="58"/>
      <c r="G26" s="23"/>
      <c r="I26" t="s">
        <v>69</v>
      </c>
      <c r="J26" s="39"/>
      <c r="K26" s="39">
        <v>0.05</v>
      </c>
      <c r="L26" s="39">
        <v>0.05</v>
      </c>
      <c r="M26" s="39">
        <v>0.05</v>
      </c>
      <c r="N26" s="39">
        <v>0.05</v>
      </c>
      <c r="R26" s="39"/>
      <c r="S26" s="39"/>
      <c r="T26" s="39"/>
      <c r="U26" s="39"/>
      <c r="V26" s="39"/>
    </row>
    <row r="27" spans="2:22" x14ac:dyDescent="0.3">
      <c r="B27" s="53"/>
      <c r="C27" s="5"/>
      <c r="D27" s="4"/>
      <c r="E27" s="4"/>
      <c r="F27" s="4"/>
      <c r="G27" s="4"/>
      <c r="I27" s="34" t="s">
        <v>70</v>
      </c>
      <c r="K27" s="35"/>
      <c r="P27" s="34" t="s">
        <v>70</v>
      </c>
    </row>
    <row r="28" spans="2:22" x14ac:dyDescent="0.3">
      <c r="B28" s="53"/>
      <c r="C28" s="4"/>
      <c r="D28" s="4"/>
      <c r="E28" s="4"/>
      <c r="F28" s="4"/>
      <c r="G28" s="4"/>
      <c r="I28" s="32" t="s">
        <v>74</v>
      </c>
      <c r="J28" s="33"/>
      <c r="K28" s="40">
        <v>41</v>
      </c>
      <c r="L28" s="40">
        <v>25.5</v>
      </c>
      <c r="M28" s="40">
        <v>15.5</v>
      </c>
      <c r="N28" s="40">
        <v>26</v>
      </c>
      <c r="P28" s="32" t="s">
        <v>74</v>
      </c>
      <c r="R28" s="130">
        <f>+R25-Q25</f>
        <v>-11</v>
      </c>
      <c r="S28" s="130">
        <v>40</v>
      </c>
      <c r="T28" s="130">
        <v>33</v>
      </c>
      <c r="U28" s="130">
        <f>U25-Q25+1</f>
        <v>20</v>
      </c>
      <c r="V28" s="130">
        <f>V25-Q25+4</f>
        <v>33</v>
      </c>
    </row>
    <row r="29" spans="2:22" x14ac:dyDescent="0.3">
      <c r="B29" s="54"/>
      <c r="C29" s="25"/>
      <c r="D29" s="25"/>
      <c r="E29" s="25"/>
      <c r="F29" s="25"/>
      <c r="G29" s="25"/>
      <c r="I29" s="32" t="s">
        <v>74</v>
      </c>
      <c r="J29" s="33"/>
      <c r="K29" s="40">
        <f>+K28-38</f>
        <v>3</v>
      </c>
      <c r="L29" s="40">
        <f>+L28+K29</f>
        <v>28.5</v>
      </c>
      <c r="M29" s="40">
        <v>15.5</v>
      </c>
      <c r="N29" s="40">
        <v>26</v>
      </c>
    </row>
    <row r="30" spans="2:22" x14ac:dyDescent="0.3">
      <c r="B30" s="83"/>
      <c r="J30"/>
      <c r="K30"/>
      <c r="L30"/>
      <c r="M30"/>
      <c r="N30"/>
    </row>
    <row r="31" spans="2:22" x14ac:dyDescent="0.3">
      <c r="B31" s="83"/>
      <c r="J31"/>
      <c r="K31"/>
      <c r="L31"/>
      <c r="M31"/>
      <c r="N31"/>
    </row>
    <row r="32" spans="2:22" x14ac:dyDescent="0.3">
      <c r="B32" s="83"/>
      <c r="J32"/>
      <c r="K32"/>
      <c r="L32"/>
      <c r="M32"/>
      <c r="N32"/>
      <c r="R32"/>
      <c r="S32"/>
      <c r="T32"/>
      <c r="U32"/>
      <c r="V32"/>
    </row>
    <row r="33" spans="2:22" x14ac:dyDescent="0.3">
      <c r="B33" s="34" t="s">
        <v>70</v>
      </c>
      <c r="I33" s="52" t="s">
        <v>20</v>
      </c>
      <c r="J33" s="23">
        <v>65</v>
      </c>
      <c r="K33" s="23">
        <v>77</v>
      </c>
      <c r="L33" s="23">
        <v>80</v>
      </c>
      <c r="M33" s="58">
        <v>82</v>
      </c>
      <c r="N33" s="23">
        <v>85</v>
      </c>
      <c r="P33" s="52" t="s">
        <v>20</v>
      </c>
      <c r="Q33">
        <v>80</v>
      </c>
      <c r="R33" s="58">
        <v>80</v>
      </c>
      <c r="S33" s="23">
        <v>82</v>
      </c>
      <c r="T33" s="58">
        <v>85</v>
      </c>
      <c r="U33" s="23">
        <v>90</v>
      </c>
      <c r="V33" s="23">
        <v>90</v>
      </c>
    </row>
    <row r="34" spans="2:22" x14ac:dyDescent="0.3">
      <c r="B34" s="55" t="s">
        <v>20</v>
      </c>
      <c r="C34" s="33"/>
      <c r="D34" s="33">
        <f>+D26-C26</f>
        <v>0</v>
      </c>
      <c r="E34" s="33">
        <f>+E26-D26</f>
        <v>0</v>
      </c>
      <c r="F34" s="33">
        <f t="shared" ref="F34" si="1">+F26-E26</f>
        <v>0</v>
      </c>
      <c r="G34" s="33">
        <f>+G26-F26</f>
        <v>0</v>
      </c>
      <c r="I34" s="53"/>
      <c r="J34" s="5">
        <v>24</v>
      </c>
      <c r="K34" s="4">
        <v>32</v>
      </c>
      <c r="L34" s="4">
        <v>35</v>
      </c>
      <c r="M34" s="4">
        <v>37</v>
      </c>
      <c r="N34" s="4">
        <v>40</v>
      </c>
      <c r="R34"/>
      <c r="S34"/>
      <c r="T34"/>
      <c r="U34"/>
      <c r="V34"/>
    </row>
    <row r="35" spans="2:22" x14ac:dyDescent="0.3">
      <c r="B35" s="56"/>
      <c r="C35" s="19"/>
      <c r="D35" s="19">
        <f t="shared" ref="D35:G37" si="2">+D27-C27</f>
        <v>0</v>
      </c>
      <c r="E35" s="19">
        <f t="shared" si="2"/>
        <v>0</v>
      </c>
      <c r="F35" s="19">
        <f t="shared" si="2"/>
        <v>0</v>
      </c>
      <c r="G35" s="19">
        <f t="shared" si="2"/>
        <v>0</v>
      </c>
      <c r="I35" s="53" t="s">
        <v>21</v>
      </c>
      <c r="J35" s="4">
        <v>36</v>
      </c>
      <c r="K35" s="4">
        <v>40</v>
      </c>
      <c r="L35" s="4">
        <v>45</v>
      </c>
      <c r="M35" s="4">
        <v>47</v>
      </c>
      <c r="N35" s="4">
        <v>50</v>
      </c>
      <c r="P35" s="53" t="s">
        <v>21</v>
      </c>
      <c r="Q35">
        <v>38</v>
      </c>
      <c r="R35" s="4">
        <v>37</v>
      </c>
      <c r="S35" s="4">
        <v>37</v>
      </c>
      <c r="T35" s="4">
        <v>40</v>
      </c>
      <c r="U35" s="4">
        <v>40</v>
      </c>
      <c r="V35" s="4">
        <v>40</v>
      </c>
    </row>
    <row r="36" spans="2:22" x14ac:dyDescent="0.3">
      <c r="B36" s="56" t="s">
        <v>21</v>
      </c>
      <c r="C36" s="21"/>
      <c r="D36" s="21">
        <f t="shared" si="2"/>
        <v>0</v>
      </c>
      <c r="E36" s="21">
        <f t="shared" si="2"/>
        <v>0</v>
      </c>
      <c r="F36" s="21">
        <f t="shared" si="2"/>
        <v>0</v>
      </c>
      <c r="G36" s="21">
        <f t="shared" si="2"/>
        <v>0</v>
      </c>
      <c r="I36" s="54"/>
      <c r="J36" s="25">
        <v>7</v>
      </c>
      <c r="K36" s="25">
        <v>11</v>
      </c>
      <c r="L36" s="25">
        <v>15</v>
      </c>
      <c r="M36" s="25">
        <v>17</v>
      </c>
      <c r="N36" s="25">
        <v>20</v>
      </c>
      <c r="R36"/>
      <c r="S36"/>
      <c r="T36"/>
      <c r="U36"/>
      <c r="V36"/>
    </row>
    <row r="37" spans="2:22" x14ac:dyDescent="0.3">
      <c r="B37" s="57"/>
      <c r="C37" s="37"/>
      <c r="D37" s="37">
        <f t="shared" si="2"/>
        <v>0</v>
      </c>
      <c r="E37" s="37">
        <f t="shared" si="2"/>
        <v>0</v>
      </c>
      <c r="F37" s="37">
        <f t="shared" si="2"/>
        <v>0</v>
      </c>
      <c r="G37" s="37">
        <f t="shared" si="2"/>
        <v>0</v>
      </c>
      <c r="I37" s="34" t="s">
        <v>70</v>
      </c>
      <c r="P37" s="34" t="s">
        <v>70</v>
      </c>
    </row>
    <row r="38" spans="2:22" x14ac:dyDescent="0.3">
      <c r="I38" s="55" t="s">
        <v>20</v>
      </c>
      <c r="J38" s="33"/>
      <c r="K38" s="33">
        <v>12</v>
      </c>
      <c r="L38" s="33">
        <v>3</v>
      </c>
      <c r="M38" s="33">
        <v>2</v>
      </c>
      <c r="N38" s="33">
        <v>3</v>
      </c>
      <c r="P38" s="55" t="s">
        <v>20</v>
      </c>
      <c r="R38" s="33">
        <v>3</v>
      </c>
      <c r="S38" s="33">
        <v>3</v>
      </c>
      <c r="T38" s="33">
        <v>4</v>
      </c>
      <c r="U38" s="33">
        <v>5</v>
      </c>
      <c r="V38" s="33">
        <v>5</v>
      </c>
    </row>
    <row r="39" spans="2:22" x14ac:dyDescent="0.3">
      <c r="I39" s="56"/>
      <c r="J39" s="19"/>
      <c r="K39" s="19">
        <v>8</v>
      </c>
      <c r="L39" s="19">
        <v>3</v>
      </c>
      <c r="M39" s="19">
        <v>2</v>
      </c>
      <c r="N39" s="19">
        <v>0</v>
      </c>
      <c r="P39" s="56" t="s">
        <v>32</v>
      </c>
      <c r="R39" s="19"/>
      <c r="S39" s="19"/>
      <c r="T39" s="19"/>
      <c r="U39" s="19"/>
      <c r="V39" s="19"/>
    </row>
    <row r="40" spans="2:22" x14ac:dyDescent="0.3">
      <c r="I40" s="56" t="s">
        <v>21</v>
      </c>
      <c r="J40" s="21"/>
      <c r="K40" s="21">
        <v>4</v>
      </c>
      <c r="L40" s="21">
        <v>5</v>
      </c>
      <c r="M40" s="21">
        <v>2</v>
      </c>
      <c r="N40" s="21">
        <v>3</v>
      </c>
      <c r="P40" s="56" t="s">
        <v>21</v>
      </c>
      <c r="R40" s="21">
        <v>5</v>
      </c>
      <c r="S40" s="21">
        <v>5</v>
      </c>
      <c r="T40" s="21">
        <v>1</v>
      </c>
      <c r="U40" s="21">
        <v>2</v>
      </c>
      <c r="V40" s="21">
        <v>2</v>
      </c>
    </row>
    <row r="41" spans="2:22" x14ac:dyDescent="0.3">
      <c r="I41" s="57"/>
      <c r="J41" s="37"/>
      <c r="K41" s="37">
        <v>4</v>
      </c>
      <c r="L41" s="37">
        <v>4</v>
      </c>
      <c r="M41" s="37">
        <v>2</v>
      </c>
      <c r="N41" s="37">
        <v>0</v>
      </c>
      <c r="P41" s="57" t="s">
        <v>33</v>
      </c>
      <c r="R41" s="37"/>
      <c r="S41" s="37"/>
      <c r="T41" s="37"/>
      <c r="U41" s="37"/>
      <c r="V41" s="37"/>
    </row>
    <row r="43" spans="2:22" x14ac:dyDescent="0.3">
      <c r="I43" s="34"/>
      <c r="P43" s="34"/>
    </row>
    <row r="44" spans="2:22" hidden="1" x14ac:dyDescent="0.3">
      <c r="H44" t="s">
        <v>62</v>
      </c>
      <c r="I44" s="55" t="s">
        <v>20</v>
      </c>
      <c r="J44" s="33"/>
      <c r="K44" s="33">
        <f>+K38-3</f>
        <v>9</v>
      </c>
      <c r="L44" s="84">
        <f>+K44+L38</f>
        <v>12</v>
      </c>
      <c r="M44" s="33">
        <v>2</v>
      </c>
      <c r="N44" s="33">
        <v>3</v>
      </c>
      <c r="P44" s="55" t="s">
        <v>20</v>
      </c>
    </row>
    <row r="45" spans="2:22" hidden="1" x14ac:dyDescent="0.3">
      <c r="I45" s="56" t="s">
        <v>32</v>
      </c>
      <c r="J45" s="19"/>
      <c r="K45" s="19">
        <f>+K39-2</f>
        <v>6</v>
      </c>
      <c r="L45" s="85">
        <f>+K45+L39</f>
        <v>9</v>
      </c>
      <c r="M45" s="19">
        <v>2</v>
      </c>
      <c r="N45" s="19">
        <v>3</v>
      </c>
      <c r="P45" s="56" t="s">
        <v>32</v>
      </c>
    </row>
    <row r="46" spans="2:22" hidden="1" x14ac:dyDescent="0.3">
      <c r="I46" s="56" t="s">
        <v>21</v>
      </c>
      <c r="J46" s="21"/>
      <c r="K46" s="21">
        <f>+K40-1</f>
        <v>3</v>
      </c>
      <c r="L46" s="77">
        <f>+K46+L40</f>
        <v>8</v>
      </c>
      <c r="M46" s="21">
        <v>2</v>
      </c>
      <c r="N46" s="21">
        <v>3</v>
      </c>
      <c r="P46" s="56" t="s">
        <v>21</v>
      </c>
    </row>
    <row r="47" spans="2:22" hidden="1" x14ac:dyDescent="0.3">
      <c r="I47" s="57" t="s">
        <v>33</v>
      </c>
      <c r="J47" s="37"/>
      <c r="K47" s="37">
        <f>+K41-1</f>
        <v>3</v>
      </c>
      <c r="L47" s="79">
        <f>+K47+L41</f>
        <v>7</v>
      </c>
      <c r="M47" s="37">
        <v>2</v>
      </c>
      <c r="N47" s="37">
        <v>3</v>
      </c>
      <c r="P47" s="57" t="s">
        <v>33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B03AB-7032-47BC-9003-55D762FCED2A}">
  <sheetPr>
    <tabColor theme="8" tint="0.39997558519241921"/>
  </sheetPr>
  <dimension ref="A1:K93"/>
  <sheetViews>
    <sheetView showGridLines="0" zoomScale="110" zoomScaleNormal="110" workbookViewId="0">
      <selection activeCell="A3" sqref="A3:J3"/>
    </sheetView>
  </sheetViews>
  <sheetFormatPr baseColWidth="10" defaultRowHeight="14.4" x14ac:dyDescent="0.3"/>
  <cols>
    <col min="1" max="1" width="15.109375" bestFit="1" customWidth="1"/>
    <col min="11" max="11" width="14.33203125" bestFit="1" customWidth="1"/>
    <col min="12" max="12" width="6.5546875" bestFit="1" customWidth="1"/>
    <col min="13" max="13" width="10.5546875" bestFit="1" customWidth="1"/>
    <col min="14" max="14" width="20.33203125" bestFit="1" customWidth="1"/>
  </cols>
  <sheetData>
    <row r="1" spans="1:11" ht="15" thickBot="1" x14ac:dyDescent="0.35">
      <c r="A1" s="16" t="s">
        <v>0</v>
      </c>
      <c r="B1" s="22" t="s">
        <v>60</v>
      </c>
      <c r="C1" s="22" t="s">
        <v>61</v>
      </c>
      <c r="D1" s="22" t="s">
        <v>62</v>
      </c>
      <c r="E1" s="22" t="s">
        <v>63</v>
      </c>
      <c r="F1" s="26" t="s">
        <v>64</v>
      </c>
      <c r="G1" s="123" t="s">
        <v>65</v>
      </c>
      <c r="H1" s="26" t="s">
        <v>66</v>
      </c>
      <c r="I1" s="22" t="s">
        <v>67</v>
      </c>
      <c r="J1" s="26" t="s">
        <v>68</v>
      </c>
      <c r="K1" s="122">
        <v>38322</v>
      </c>
    </row>
    <row r="2" spans="1:11" ht="15" thickBot="1" x14ac:dyDescent="0.35">
      <c r="A2" s="48" t="s">
        <v>12</v>
      </c>
      <c r="B2" s="23">
        <v>254</v>
      </c>
      <c r="C2" s="23">
        <v>280</v>
      </c>
      <c r="D2" s="23">
        <v>320</v>
      </c>
      <c r="E2" s="23">
        <v>360</v>
      </c>
      <c r="F2" s="27">
        <v>400</v>
      </c>
      <c r="G2" s="125">
        <v>320</v>
      </c>
      <c r="H2" s="27">
        <v>360</v>
      </c>
      <c r="I2" s="23">
        <v>380</v>
      </c>
      <c r="J2" s="27">
        <v>420</v>
      </c>
      <c r="K2" s="27">
        <v>420</v>
      </c>
    </row>
    <row r="3" spans="1:11" x14ac:dyDescent="0.3">
      <c r="A3" s="48" t="s">
        <v>88</v>
      </c>
      <c r="B3" s="23"/>
      <c r="C3" s="133">
        <v>245</v>
      </c>
      <c r="D3" s="23">
        <v>254</v>
      </c>
      <c r="E3" s="23">
        <v>251</v>
      </c>
      <c r="F3" s="27">
        <v>257</v>
      </c>
      <c r="G3" s="125">
        <v>275</v>
      </c>
      <c r="H3" s="27">
        <v>288</v>
      </c>
      <c r="I3" s="23">
        <v>282</v>
      </c>
      <c r="J3" s="27">
        <v>275</v>
      </c>
      <c r="K3" s="27"/>
    </row>
    <row r="4" spans="1:11" x14ac:dyDescent="0.3">
      <c r="G4" s="134">
        <f>+(G3-C3)/C3</f>
        <v>0.12244897959183673</v>
      </c>
      <c r="H4" s="134">
        <f>+(H3-C3)/C3</f>
        <v>0.17551020408163265</v>
      </c>
      <c r="I4" s="134">
        <f>+(I3-C3)/C3</f>
        <v>0.15102040816326531</v>
      </c>
      <c r="J4" s="134">
        <f>+(J3-D3)/D3</f>
        <v>8.2677165354330714E-2</v>
      </c>
    </row>
    <row r="5" spans="1:11" x14ac:dyDescent="0.3">
      <c r="A5" t="s">
        <v>133</v>
      </c>
    </row>
    <row r="11" spans="1:11" hidden="1" x14ac:dyDescent="0.3"/>
    <row r="12" spans="1:11" hidden="1" x14ac:dyDescent="0.3"/>
    <row r="13" spans="1:11" hidden="1" x14ac:dyDescent="0.3">
      <c r="A13" s="3" t="s">
        <v>111</v>
      </c>
      <c r="B13" s="4" t="s">
        <v>64</v>
      </c>
      <c r="C13" s="115" t="s">
        <v>65</v>
      </c>
      <c r="D13" s="4" t="s">
        <v>66</v>
      </c>
      <c r="E13" s="4" t="s">
        <v>67</v>
      </c>
      <c r="F13" s="4" t="s">
        <v>68</v>
      </c>
    </row>
    <row r="14" spans="1:11" hidden="1" x14ac:dyDescent="0.3">
      <c r="A14" s="3" t="s">
        <v>112</v>
      </c>
      <c r="B14" s="4">
        <v>890</v>
      </c>
      <c r="C14" s="115">
        <v>900</v>
      </c>
      <c r="D14" s="4">
        <v>922</v>
      </c>
      <c r="E14" s="4"/>
      <c r="F14" s="4"/>
    </row>
    <row r="15" spans="1:11" hidden="1" x14ac:dyDescent="0.3">
      <c r="A15" s="3" t="s">
        <v>9</v>
      </c>
      <c r="B15" s="3">
        <v>61</v>
      </c>
      <c r="C15" s="152">
        <v>96</v>
      </c>
      <c r="D15" s="3">
        <v>98</v>
      </c>
      <c r="E15" s="3">
        <v>69</v>
      </c>
      <c r="F15" s="3">
        <v>14</v>
      </c>
    </row>
    <row r="16" spans="1:11" hidden="1" x14ac:dyDescent="0.3">
      <c r="A16" s="3" t="s">
        <v>109</v>
      </c>
      <c r="B16" s="3">
        <v>40</v>
      </c>
      <c r="C16" s="152">
        <v>44</v>
      </c>
      <c r="D16" s="3">
        <v>44</v>
      </c>
      <c r="E16" s="3">
        <f>12+18+12+15</f>
        <v>57</v>
      </c>
      <c r="F16" s="3"/>
    </row>
    <row r="17" spans="1:6" hidden="1" x14ac:dyDescent="0.3">
      <c r="A17" s="3" t="s">
        <v>69</v>
      </c>
      <c r="B17" s="3"/>
      <c r="C17" s="152"/>
      <c r="D17" s="3"/>
      <c r="E17" s="153">
        <f>+E16/E15</f>
        <v>0.82608695652173914</v>
      </c>
      <c r="F17" s="3"/>
    </row>
    <row r="18" spans="1:6" hidden="1" x14ac:dyDescent="0.3">
      <c r="A18" s="3" t="s">
        <v>110</v>
      </c>
      <c r="B18" s="3"/>
      <c r="C18" s="152"/>
      <c r="D18" s="3"/>
      <c r="E18" s="3"/>
      <c r="F18" s="3"/>
    </row>
    <row r="19" spans="1:6" hidden="1" x14ac:dyDescent="0.3">
      <c r="C19" s="134">
        <f>+D16/C14</f>
        <v>4.8888888888888891E-2</v>
      </c>
      <c r="D19" s="134">
        <f>+E16/D14</f>
        <v>6.1822125813449022E-2</v>
      </c>
    </row>
    <row r="20" spans="1:6" hidden="1" x14ac:dyDescent="0.3"/>
    <row r="21" spans="1:6" hidden="1" x14ac:dyDescent="0.3"/>
    <row r="22" spans="1:6" hidden="1" x14ac:dyDescent="0.3"/>
    <row r="23" spans="1:6" hidden="1" x14ac:dyDescent="0.3"/>
    <row r="24" spans="1:6" hidden="1" x14ac:dyDescent="0.3"/>
    <row r="25" spans="1:6" hidden="1" x14ac:dyDescent="0.3"/>
    <row r="26" spans="1:6" hidden="1" x14ac:dyDescent="0.3"/>
    <row r="27" spans="1:6" hidden="1" x14ac:dyDescent="0.3"/>
    <row r="28" spans="1:6" hidden="1" x14ac:dyDescent="0.3"/>
    <row r="29" spans="1:6" hidden="1" x14ac:dyDescent="0.3"/>
    <row r="30" spans="1:6" hidden="1" x14ac:dyDescent="0.3"/>
    <row r="31" spans="1:6" hidden="1" x14ac:dyDescent="0.3"/>
    <row r="32" spans="1:6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957F-6471-4A68-9675-5E26D1300A56}">
  <dimension ref="B3:E12"/>
  <sheetViews>
    <sheetView zoomScale="120" zoomScaleNormal="120" workbookViewId="0">
      <selection activeCell="B10" sqref="B10"/>
    </sheetView>
  </sheetViews>
  <sheetFormatPr baseColWidth="10" defaultColWidth="11.44140625" defaultRowHeight="14.4" x14ac:dyDescent="0.3"/>
  <cols>
    <col min="2" max="2" width="59.33203125" customWidth="1"/>
    <col min="3" max="3" width="13" style="1" customWidth="1"/>
  </cols>
  <sheetData>
    <row r="3" spans="2:5" x14ac:dyDescent="0.3">
      <c r="B3" s="44" t="s">
        <v>75</v>
      </c>
      <c r="C3" s="44" t="s">
        <v>76</v>
      </c>
      <c r="D3" s="44" t="s">
        <v>60</v>
      </c>
      <c r="E3" s="44" t="s">
        <v>61</v>
      </c>
    </row>
    <row r="4" spans="2:5" x14ac:dyDescent="0.3">
      <c r="B4" s="3" t="s">
        <v>77</v>
      </c>
      <c r="C4" s="41">
        <v>45762</v>
      </c>
      <c r="D4" s="3"/>
      <c r="E4" s="42"/>
    </row>
    <row r="5" spans="2:5" x14ac:dyDescent="0.3">
      <c r="B5" s="3" t="s">
        <v>78</v>
      </c>
      <c r="C5" s="41">
        <v>45762</v>
      </c>
      <c r="D5" s="3"/>
      <c r="E5" s="42"/>
    </row>
    <row r="6" spans="2:5" x14ac:dyDescent="0.3">
      <c r="B6" s="45" t="s">
        <v>79</v>
      </c>
      <c r="C6" s="41">
        <v>45747</v>
      </c>
      <c r="D6" s="42"/>
      <c r="E6" s="3"/>
    </row>
    <row r="7" spans="2:5" x14ac:dyDescent="0.3">
      <c r="B7" s="3" t="s">
        <v>80</v>
      </c>
      <c r="C7" s="4" t="s">
        <v>81</v>
      </c>
      <c r="D7" s="3"/>
      <c r="E7" s="42"/>
    </row>
    <row r="8" spans="2:5" x14ac:dyDescent="0.3">
      <c r="B8" s="3" t="s">
        <v>82</v>
      </c>
      <c r="C8" s="41">
        <v>45762</v>
      </c>
      <c r="D8" s="3"/>
      <c r="E8" s="42"/>
    </row>
    <row r="9" spans="2:5" x14ac:dyDescent="0.3">
      <c r="B9" s="3" t="s">
        <v>83</v>
      </c>
      <c r="C9" s="41">
        <v>45777</v>
      </c>
      <c r="D9" s="3"/>
      <c r="E9" s="42"/>
    </row>
    <row r="10" spans="2:5" x14ac:dyDescent="0.3">
      <c r="B10" s="3" t="s">
        <v>84</v>
      </c>
      <c r="C10" s="43" t="s">
        <v>85</v>
      </c>
      <c r="D10" s="3"/>
      <c r="E10" s="3"/>
    </row>
    <row r="11" spans="2:5" x14ac:dyDescent="0.3">
      <c r="B11" s="3" t="s">
        <v>86</v>
      </c>
      <c r="C11" s="43" t="s">
        <v>85</v>
      </c>
      <c r="D11" s="3"/>
      <c r="E11" s="3"/>
    </row>
    <row r="12" spans="2:5" x14ac:dyDescent="0.3">
      <c r="B12" s="3" t="s">
        <v>87</v>
      </c>
      <c r="C12" s="43" t="s">
        <v>85</v>
      </c>
      <c r="D12" s="3"/>
      <c r="E12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E963-B0DF-4DD6-96CD-AFC08293CF32}">
  <dimension ref="B3:J33"/>
  <sheetViews>
    <sheetView topLeftCell="A10" zoomScale="110" zoomScaleNormal="110" workbookViewId="0">
      <selection activeCell="E30" sqref="E30"/>
    </sheetView>
  </sheetViews>
  <sheetFormatPr baseColWidth="10" defaultRowHeight="14.4" x14ac:dyDescent="0.3"/>
  <cols>
    <col min="2" max="2" width="15" bestFit="1" customWidth="1"/>
    <col min="3" max="3" width="6.5546875" bestFit="1" customWidth="1"/>
    <col min="4" max="5" width="19" bestFit="1" customWidth="1"/>
    <col min="6" max="6" width="22.88671875" bestFit="1" customWidth="1"/>
    <col min="7" max="7" width="17.6640625" bestFit="1" customWidth="1"/>
    <col min="8" max="8" width="34.88671875" bestFit="1" customWidth="1"/>
    <col min="9" max="9" width="20.88671875" bestFit="1" customWidth="1"/>
    <col min="10" max="10" width="20.33203125" bestFit="1" customWidth="1"/>
  </cols>
  <sheetData>
    <row r="3" spans="2:10" x14ac:dyDescent="0.3">
      <c r="B3" s="142" t="s">
        <v>104</v>
      </c>
      <c r="C3" s="142" t="s">
        <v>102</v>
      </c>
      <c r="D3" s="142" t="s">
        <v>114</v>
      </c>
      <c r="E3" s="142" t="s">
        <v>115</v>
      </c>
      <c r="F3" s="142" t="s">
        <v>116</v>
      </c>
      <c r="G3" s="142" t="s">
        <v>103</v>
      </c>
    </row>
    <row r="4" spans="2:10" x14ac:dyDescent="0.3">
      <c r="B4" s="4" t="s">
        <v>98</v>
      </c>
      <c r="C4" s="136">
        <v>52</v>
      </c>
      <c r="D4" s="136">
        <v>10</v>
      </c>
      <c r="E4" s="136">
        <v>13</v>
      </c>
      <c r="F4" s="136">
        <v>13</v>
      </c>
      <c r="G4" s="137">
        <v>0.25</v>
      </c>
    </row>
    <row r="5" spans="2:10" x14ac:dyDescent="0.3">
      <c r="B5" s="4" t="s">
        <v>99</v>
      </c>
      <c r="C5" s="136">
        <v>26</v>
      </c>
      <c r="D5" s="136">
        <v>14</v>
      </c>
      <c r="E5" s="136">
        <v>11</v>
      </c>
      <c r="F5" s="136">
        <v>23</v>
      </c>
      <c r="G5" s="137">
        <v>0.88</v>
      </c>
    </row>
    <row r="6" spans="2:10" x14ac:dyDescent="0.3">
      <c r="B6" s="4" t="s">
        <v>97</v>
      </c>
      <c r="C6" s="136">
        <v>33</v>
      </c>
      <c r="D6" s="136">
        <v>20</v>
      </c>
      <c r="E6" s="136">
        <v>27</v>
      </c>
      <c r="F6" s="136">
        <v>32</v>
      </c>
      <c r="G6" s="137">
        <v>0.97</v>
      </c>
    </row>
    <row r="7" spans="2:10" x14ac:dyDescent="0.3">
      <c r="B7" s="4" t="s">
        <v>100</v>
      </c>
      <c r="C7" s="136">
        <v>4</v>
      </c>
      <c r="D7" s="136">
        <v>1</v>
      </c>
      <c r="E7" s="136">
        <v>2</v>
      </c>
      <c r="F7" s="136">
        <v>2</v>
      </c>
      <c r="G7" s="137">
        <v>0.5</v>
      </c>
    </row>
    <row r="8" spans="2:10" x14ac:dyDescent="0.3">
      <c r="B8" s="4" t="s">
        <v>101</v>
      </c>
      <c r="C8" s="136">
        <v>1</v>
      </c>
      <c r="D8" s="136">
        <v>0</v>
      </c>
      <c r="E8" s="136">
        <v>0</v>
      </c>
      <c r="F8" s="136">
        <v>0</v>
      </c>
      <c r="G8" s="137">
        <v>0</v>
      </c>
    </row>
    <row r="10" spans="2:10" ht="14.25" customHeight="1" x14ac:dyDescent="0.3"/>
    <row r="11" spans="2:10" hidden="1" x14ac:dyDescent="0.3"/>
    <row r="12" spans="2:10" ht="30" customHeight="1" x14ac:dyDescent="0.3">
      <c r="B12" s="155" t="s">
        <v>117</v>
      </c>
      <c r="C12" s="155" t="s">
        <v>102</v>
      </c>
      <c r="D12" s="155" t="s">
        <v>118</v>
      </c>
      <c r="E12" s="155" t="s">
        <v>119</v>
      </c>
      <c r="F12" s="155" t="s">
        <v>120</v>
      </c>
      <c r="G12" s="155" t="s">
        <v>121</v>
      </c>
      <c r="H12" s="155" t="s">
        <v>122</v>
      </c>
      <c r="I12" s="155" t="s">
        <v>123</v>
      </c>
      <c r="J12" s="155" t="s">
        <v>103</v>
      </c>
    </row>
    <row r="13" spans="2:10" x14ac:dyDescent="0.3">
      <c r="B13" s="156" t="s">
        <v>98</v>
      </c>
      <c r="C13" s="136">
        <v>56</v>
      </c>
      <c r="D13" s="136">
        <v>8</v>
      </c>
      <c r="E13" s="136">
        <v>11</v>
      </c>
      <c r="F13" s="136" t="s">
        <v>124</v>
      </c>
      <c r="G13" s="136" t="s">
        <v>125</v>
      </c>
      <c r="H13" s="136">
        <v>6</v>
      </c>
      <c r="I13" s="136">
        <v>17</v>
      </c>
      <c r="J13" s="137">
        <v>0.3</v>
      </c>
    </row>
    <row r="14" spans="2:10" x14ac:dyDescent="0.3">
      <c r="B14" s="156" t="s">
        <v>99</v>
      </c>
      <c r="C14" s="136">
        <v>22</v>
      </c>
      <c r="D14" s="136">
        <v>10</v>
      </c>
      <c r="E14" s="136">
        <v>14</v>
      </c>
      <c r="F14" s="136" t="s">
        <v>126</v>
      </c>
      <c r="G14" s="136" t="s">
        <v>127</v>
      </c>
      <c r="H14" s="136">
        <v>7</v>
      </c>
      <c r="I14" s="136">
        <v>10</v>
      </c>
      <c r="J14" s="137">
        <v>0.45</v>
      </c>
    </row>
    <row r="15" spans="2:10" x14ac:dyDescent="0.3">
      <c r="B15" s="156" t="s">
        <v>97</v>
      </c>
      <c r="C15" s="136">
        <v>30</v>
      </c>
      <c r="D15" s="136">
        <v>26</v>
      </c>
      <c r="E15" s="136">
        <v>25</v>
      </c>
      <c r="F15" s="136" t="s">
        <v>128</v>
      </c>
      <c r="G15" s="136" t="s">
        <v>129</v>
      </c>
      <c r="H15" s="136">
        <v>8</v>
      </c>
      <c r="I15" s="136">
        <v>26</v>
      </c>
      <c r="J15" s="137">
        <v>0.87</v>
      </c>
    </row>
    <row r="16" spans="2:10" x14ac:dyDescent="0.3">
      <c r="B16" s="156" t="s">
        <v>100</v>
      </c>
      <c r="C16" s="136">
        <v>5</v>
      </c>
      <c r="D16" s="136">
        <v>1</v>
      </c>
      <c r="E16" s="136">
        <v>2</v>
      </c>
      <c r="F16" s="136">
        <v>1</v>
      </c>
      <c r="G16" s="136">
        <v>1</v>
      </c>
      <c r="H16" s="136">
        <v>2</v>
      </c>
      <c r="I16" s="136">
        <v>2</v>
      </c>
      <c r="J16" s="137">
        <v>0.4</v>
      </c>
    </row>
    <row r="17" spans="2:10" x14ac:dyDescent="0.3">
      <c r="B17" s="156" t="s">
        <v>101</v>
      </c>
      <c r="C17" s="136">
        <v>2</v>
      </c>
      <c r="D17" s="136">
        <v>0</v>
      </c>
      <c r="E17" s="136">
        <v>0</v>
      </c>
      <c r="F17" s="136">
        <v>0</v>
      </c>
      <c r="G17" s="136">
        <v>0</v>
      </c>
      <c r="H17" s="136">
        <v>0</v>
      </c>
      <c r="I17" s="136">
        <v>0</v>
      </c>
      <c r="J17" s="137">
        <v>0</v>
      </c>
    </row>
    <row r="20" spans="2:10" ht="15" thickBot="1" x14ac:dyDescent="0.35">
      <c r="B20" s="157" t="s">
        <v>130</v>
      </c>
      <c r="C20" s="157" t="s">
        <v>102</v>
      </c>
      <c r="D20" s="157" t="s">
        <v>131</v>
      </c>
      <c r="E20" s="157" t="s">
        <v>103</v>
      </c>
    </row>
    <row r="21" spans="2:10" ht="15" thickBot="1" x14ac:dyDescent="0.35">
      <c r="B21" s="136" t="s">
        <v>98</v>
      </c>
      <c r="C21" s="158"/>
      <c r="D21" s="136">
        <v>12</v>
      </c>
      <c r="E21" s="137"/>
    </row>
    <row r="22" spans="2:10" ht="15" thickBot="1" x14ac:dyDescent="0.35">
      <c r="B22" s="136" t="s">
        <v>99</v>
      </c>
      <c r="C22" s="159">
        <v>28</v>
      </c>
      <c r="D22" s="136">
        <v>6</v>
      </c>
      <c r="E22" s="137"/>
    </row>
    <row r="23" spans="2:10" ht="15" thickBot="1" x14ac:dyDescent="0.35">
      <c r="B23" s="136" t="s">
        <v>97</v>
      </c>
      <c r="C23" s="159">
        <v>33</v>
      </c>
      <c r="D23" s="136">
        <v>16</v>
      </c>
      <c r="E23" s="137"/>
    </row>
    <row r="24" spans="2:10" ht="15" thickBot="1" x14ac:dyDescent="0.35">
      <c r="B24" s="136" t="s">
        <v>100</v>
      </c>
      <c r="C24" s="159">
        <v>5</v>
      </c>
      <c r="D24" s="136">
        <v>1</v>
      </c>
      <c r="E24" s="137"/>
    </row>
    <row r="25" spans="2:10" ht="15" thickBot="1" x14ac:dyDescent="0.35">
      <c r="B25" s="136" t="s">
        <v>101</v>
      </c>
      <c r="C25" s="159">
        <v>2</v>
      </c>
      <c r="D25" s="136">
        <v>0</v>
      </c>
      <c r="E25" s="137"/>
    </row>
    <row r="27" spans="2:10" ht="15" thickBot="1" x14ac:dyDescent="0.35"/>
    <row r="28" spans="2:10" ht="28.2" thickBot="1" x14ac:dyDescent="0.35">
      <c r="B28" s="180" t="s">
        <v>155</v>
      </c>
      <c r="C28" s="181" t="s">
        <v>102</v>
      </c>
      <c r="D28" s="182" t="s">
        <v>156</v>
      </c>
      <c r="E28" s="182" t="s">
        <v>157</v>
      </c>
      <c r="F28" s="182" t="s">
        <v>158</v>
      </c>
      <c r="G28" s="183" t="s">
        <v>159</v>
      </c>
    </row>
    <row r="29" spans="2:10" ht="15" thickBot="1" x14ac:dyDescent="0.35">
      <c r="B29" s="178" t="s">
        <v>98</v>
      </c>
      <c r="C29" s="179">
        <v>60</v>
      </c>
      <c r="D29" s="179">
        <v>9</v>
      </c>
      <c r="E29" s="179">
        <v>11</v>
      </c>
      <c r="F29" s="179">
        <v>7</v>
      </c>
      <c r="G29" s="179">
        <v>4</v>
      </c>
    </row>
    <row r="30" spans="2:10" ht="15" thickBot="1" x14ac:dyDescent="0.35">
      <c r="B30" s="176" t="s">
        <v>99</v>
      </c>
      <c r="C30" s="177">
        <v>30</v>
      </c>
      <c r="D30" s="177">
        <v>12</v>
      </c>
      <c r="E30" s="177">
        <v>12</v>
      </c>
      <c r="F30" s="177">
        <v>14</v>
      </c>
      <c r="G30" s="177">
        <v>2</v>
      </c>
    </row>
    <row r="31" spans="2:10" ht="15" thickBot="1" x14ac:dyDescent="0.35">
      <c r="B31" s="176" t="s">
        <v>97</v>
      </c>
      <c r="C31" s="177" t="s">
        <v>160</v>
      </c>
      <c r="D31" s="177">
        <v>20</v>
      </c>
      <c r="E31" s="177">
        <v>17</v>
      </c>
      <c r="F31" s="177">
        <v>17</v>
      </c>
      <c r="G31" s="177">
        <v>8</v>
      </c>
    </row>
    <row r="32" spans="2:10" ht="15" thickBot="1" x14ac:dyDescent="0.35">
      <c r="B32" s="176" t="s">
        <v>100</v>
      </c>
      <c r="C32" s="177">
        <v>2</v>
      </c>
      <c r="D32" s="177">
        <v>0</v>
      </c>
      <c r="E32" s="177">
        <v>0</v>
      </c>
      <c r="F32" s="177">
        <v>0</v>
      </c>
      <c r="G32" s="177">
        <v>0</v>
      </c>
    </row>
    <row r="33" spans="2:7" ht="15" thickBot="1" x14ac:dyDescent="0.35">
      <c r="B33" s="176" t="s">
        <v>101</v>
      </c>
      <c r="C33" s="177">
        <v>2</v>
      </c>
      <c r="D33" s="177">
        <v>1</v>
      </c>
      <c r="E33" s="177">
        <v>0</v>
      </c>
      <c r="F33" s="177">
        <v>0</v>
      </c>
      <c r="G33" s="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Aeropuerto</vt:lpstr>
      <vt:lpstr>FEBRERO-26</vt:lpstr>
      <vt:lpstr>ENERO-26</vt:lpstr>
      <vt:lpstr>DICIEMBRE</vt:lpstr>
      <vt:lpstr>NOVIEMBRE</vt:lpstr>
      <vt:lpstr>OCTUBRE</vt:lpstr>
      <vt:lpstr>SEPTIEMBRE</vt:lpstr>
      <vt:lpstr>AGOSTO</vt:lpstr>
      <vt:lpstr>JULIO</vt:lpstr>
      <vt:lpstr>JUNIO</vt:lpstr>
      <vt:lpstr>MAYO</vt:lpstr>
      <vt:lpstr>ABRIL</vt:lpstr>
      <vt:lpstr>MARZO</vt:lpstr>
      <vt:lpstr>FUNNEL DE CONVERSIÓN</vt:lpstr>
      <vt:lpstr>Proyección Abril - May - Ju (2)</vt:lpstr>
      <vt:lpstr>Hoja2</vt:lpstr>
      <vt:lpstr>Hoja1</vt:lpstr>
      <vt:lpstr>RQ AFI POR 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Taxi Directo 08</dc:creator>
  <cp:keywords/>
  <dc:description/>
  <cp:lastModifiedBy>FRANK NIETO</cp:lastModifiedBy>
  <cp:revision/>
  <dcterms:created xsi:type="dcterms:W3CDTF">2025-03-10T15:40:52Z</dcterms:created>
  <dcterms:modified xsi:type="dcterms:W3CDTF">2026-02-09T20:37:44Z</dcterms:modified>
  <cp:category/>
  <cp:contentStatus/>
</cp:coreProperties>
</file>