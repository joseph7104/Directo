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Scripts_automatización\Asia_BI\"/>
    </mc:Choice>
  </mc:AlternateContent>
  <xr:revisionPtr revIDLastSave="0" documentId="13_ncr:1_{B5ECAB8D-169C-4725-8D23-064624391A71}" xr6:coauthVersionLast="47" xr6:coauthVersionMax="47" xr10:uidLastSave="{00000000-0000-0000-0000-000000000000}"/>
  <bookViews>
    <workbookView xWindow="-108" yWindow="-108" windowWidth="23256" windowHeight="12456" activeTab="1" xr2:uid="{75C38EDD-D69F-4917-8ADE-8CB0E8289B87}"/>
  </bookViews>
  <sheets>
    <sheet name="DETALLE" sheetId="4" r:id="rId1"/>
    <sheet name="RESUMEN GENERAL" sheetId="3" r:id="rId2"/>
    <sheet name="DEPOSITO A DIRECTO" sheetId="5" r:id="rId3"/>
    <sheet name="CIERRE DE VISA" sheetId="6" r:id="rId4"/>
  </sheets>
  <definedNames>
    <definedName name="_xlnm._FilterDatabase" localSheetId="0" hidden="1">DETALLE!$B$4:$F$70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3" l="1"/>
  <c r="F9" i="3" l="1"/>
  <c r="F8" i="3" l="1"/>
  <c r="I8" i="3" s="1"/>
  <c r="F72" i="4" l="1"/>
  <c r="I7" i="3" s="1"/>
  <c r="I9" i="3" s="1"/>
  <c r="L8" i="3" s="1"/>
  <c r="L9" i="3" s="1"/>
  <c r="F11" i="3" s="1"/>
  <c r="I22" i="3" l="1"/>
  <c r="I23" i="3" s="1"/>
  <c r="I16" i="3"/>
  <c r="I19" i="3"/>
  <c r="I20" i="3" s="1"/>
  <c r="I21" i="3" s="1"/>
  <c r="F16" i="3"/>
  <c r="F18" i="3" s="1"/>
  <c r="I17" i="3" l="1"/>
  <c r="L16" i="3" s="1"/>
  <c r="L17" i="3" s="1"/>
  <c r="F24" i="3" s="1"/>
  <c r="F17" i="3"/>
  <c r="F27" i="3" l="1"/>
</calcChain>
</file>

<file path=xl/sharedStrings.xml><?xml version="1.0" encoding="utf-8"?>
<sst xmlns="http://schemas.openxmlformats.org/spreadsheetml/2006/main" count="194" uniqueCount="137">
  <si>
    <t>Fecha:</t>
  </si>
  <si>
    <t>#Móvil</t>
  </si>
  <si>
    <t>Relación de Asistencia con Cuota</t>
  </si>
  <si>
    <t>S/ Cuota</t>
  </si>
  <si>
    <t>Monto S/ Cuota Pagada</t>
  </si>
  <si>
    <t>Monto S/ Cuota Neteada</t>
  </si>
  <si>
    <t>Monto Voucher</t>
  </si>
  <si>
    <t>Monto Ventas POS</t>
  </si>
  <si>
    <t>Monto Neteado con Cuota</t>
  </si>
  <si>
    <t>Monto pagado a conductor</t>
  </si>
  <si>
    <t>Monto Caja Chica liquidación</t>
  </si>
  <si>
    <t>Monto a reembolsar a empresa</t>
  </si>
  <si>
    <t>CUADRES DE LIQUIDACIÓN SERVICIOS CONDUCTOR DE REEMPLAZO</t>
  </si>
  <si>
    <t>Monto pagar a Conductor</t>
  </si>
  <si>
    <t>30% Dscto por Comisión</t>
  </si>
  <si>
    <t>Monto Ventas Efectivo</t>
  </si>
  <si>
    <t>Monto ingreso Directo</t>
  </si>
  <si>
    <t>Monto Total Servicio CDR</t>
  </si>
  <si>
    <t>Monto Neteado comisión</t>
  </si>
  <si>
    <t>Cuadre</t>
  </si>
  <si>
    <t>CUADRES DE LIQUIDACIÓN SERVICIOS REGULARES TAXI</t>
  </si>
  <si>
    <t>Monto entregado en efectivo por CDR</t>
  </si>
  <si>
    <t>Monto a abonar a cuenta</t>
  </si>
  <si>
    <t>Total Voucher a depositar en cuenta Directo</t>
  </si>
  <si>
    <t>REPORTE GLOBAL FIN DE SEMANA BOULEVARD</t>
  </si>
  <si>
    <r>
      <t xml:space="preserve">En este detalle se colocaran todos los servicios realizados con POS, teniendo detalle obligatorio: </t>
    </r>
    <r>
      <rPr>
        <b/>
        <sz val="11"/>
        <color rgb="FFFF0000"/>
        <rFont val="Calibri"/>
        <family val="2"/>
        <scheme val="minor"/>
      </rPr>
      <t>#MÓVIL-#COD SERV-#VOUCHER POS-MONTO S/</t>
    </r>
  </si>
  <si>
    <t>Móvil</t>
  </si>
  <si>
    <t>Monto</t>
  </si>
  <si>
    <t>TOTAL</t>
  </si>
  <si>
    <t xml:space="preserve"> </t>
  </si>
  <si>
    <t># Voucher</t>
  </si>
  <si>
    <t># Servicio</t>
  </si>
  <si>
    <t>Fecha</t>
  </si>
  <si>
    <t>2 Y 3 ENERO</t>
  </si>
  <si>
    <t>670561</t>
  </si>
  <si>
    <t>574875</t>
  </si>
  <si>
    <t>521875</t>
  </si>
  <si>
    <t>003198</t>
  </si>
  <si>
    <t>980515</t>
  </si>
  <si>
    <t>182848</t>
  </si>
  <si>
    <t>970595</t>
  </si>
  <si>
    <t>982791</t>
  </si>
  <si>
    <t>709583</t>
  </si>
  <si>
    <t>747259</t>
  </si>
  <si>
    <t>189690</t>
  </si>
  <si>
    <t>361881</t>
  </si>
  <si>
    <t>494452</t>
  </si>
  <si>
    <t>024787</t>
  </si>
  <si>
    <t>421444</t>
  </si>
  <si>
    <t>09703D</t>
  </si>
  <si>
    <t>009435</t>
  </si>
  <si>
    <t>008171</t>
  </si>
  <si>
    <t>001833</t>
  </si>
  <si>
    <t>004394</t>
  </si>
  <si>
    <t>170956</t>
  </si>
  <si>
    <t>003292</t>
  </si>
  <si>
    <t>IZ3UBR</t>
  </si>
  <si>
    <t>000019</t>
  </si>
  <si>
    <t>172486</t>
  </si>
  <si>
    <t>211539</t>
  </si>
  <si>
    <t>411057</t>
  </si>
  <si>
    <t>004160</t>
  </si>
  <si>
    <t>342459</t>
  </si>
  <si>
    <t>003261</t>
  </si>
  <si>
    <t>006158</t>
  </si>
  <si>
    <t>968125</t>
  </si>
  <si>
    <t>985685</t>
  </si>
  <si>
    <t>004480</t>
  </si>
  <si>
    <t>005621</t>
  </si>
  <si>
    <t>5444612</t>
  </si>
  <si>
    <t>003041</t>
  </si>
  <si>
    <t>002618</t>
  </si>
  <si>
    <t>195148</t>
  </si>
  <si>
    <t>339003</t>
  </si>
  <si>
    <t>004004</t>
  </si>
  <si>
    <t>882152</t>
  </si>
  <si>
    <t>969509</t>
  </si>
  <si>
    <t>934819</t>
  </si>
  <si>
    <t>002046</t>
  </si>
  <si>
    <t>007593</t>
  </si>
  <si>
    <t>CYNFJZ</t>
  </si>
  <si>
    <t>004911</t>
  </si>
  <si>
    <t>821690</t>
  </si>
  <si>
    <t>001877</t>
  </si>
  <si>
    <t>009203</t>
  </si>
  <si>
    <t>005526</t>
  </si>
  <si>
    <t>006226</t>
  </si>
  <si>
    <t>008502</t>
  </si>
  <si>
    <t>295133</t>
  </si>
  <si>
    <t>06677I</t>
  </si>
  <si>
    <t>278412</t>
  </si>
  <si>
    <t>000178</t>
  </si>
  <si>
    <t>009155</t>
  </si>
  <si>
    <t>006207</t>
  </si>
  <si>
    <t>00209738</t>
  </si>
  <si>
    <t>100504</t>
  </si>
  <si>
    <t>KGPGEI</t>
  </si>
  <si>
    <t>802776</t>
  </si>
  <si>
    <t>004333</t>
  </si>
  <si>
    <t>001895</t>
  </si>
  <si>
    <t>N°</t>
  </si>
  <si>
    <t>Conductor</t>
  </si>
  <si>
    <t>Medio de pago</t>
  </si>
  <si>
    <t>Banco</t>
  </si>
  <si>
    <t>N° Operación</t>
  </si>
  <si>
    <t>DEPOSITO</t>
  </si>
  <si>
    <t>BCP</t>
  </si>
  <si>
    <t>041196</t>
  </si>
  <si>
    <t>TRANSFERENCIA</t>
  </si>
  <si>
    <t>02414962</t>
  </si>
  <si>
    <t>01271773</t>
  </si>
  <si>
    <t>03625934</t>
  </si>
  <si>
    <t>BBVA</t>
  </si>
  <si>
    <t>0311154</t>
  </si>
  <si>
    <t>03433464</t>
  </si>
  <si>
    <t>00675957</t>
  </si>
  <si>
    <t>01890317</t>
  </si>
  <si>
    <t>02428545</t>
  </si>
  <si>
    <t>00410200</t>
  </si>
  <si>
    <t>0341365</t>
  </si>
  <si>
    <t>00300729</t>
  </si>
  <si>
    <t>00234170</t>
  </si>
  <si>
    <t>00231075</t>
  </si>
  <si>
    <t>03673407</t>
  </si>
  <si>
    <t>05300217</t>
  </si>
  <si>
    <t>02991549</t>
  </si>
  <si>
    <t>00001123</t>
  </si>
  <si>
    <t>00235760</t>
  </si>
  <si>
    <t>04601553</t>
  </si>
  <si>
    <t>02345045</t>
  </si>
  <si>
    <t>04509152
03501304</t>
  </si>
  <si>
    <t>03548154</t>
  </si>
  <si>
    <t>05574397</t>
  </si>
  <si>
    <t>03973400</t>
  </si>
  <si>
    <t>03983375</t>
  </si>
  <si>
    <t>SOBRANTE EN CAJA CHICA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</si>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</sst>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S/&quot;\ * #,##0.00_-;\-&quot;S/&quot;\ * #,##0.00_-;_-&quot;S/&quot;\ * &quot;-&quot;??_-;_-@_-"/>
    <numFmt numFmtId="164" formatCode="&quot;S/&quot;\ #,##0.00"/>
    <numFmt numFmtId="165" formatCode="[$-F800]dddd\,\ mmmm\ dd\,\ yy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right"/>
    </xf>
    <xf numFmtId="0" fontId="0" fillId="0" borderId="1" xfId="0" applyBorder="1"/>
    <xf numFmtId="164" fontId="0" fillId="0" borderId="0" xfId="0" applyNumberForma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0" xfId="0" applyFont="1" applyFill="1" applyAlignment="1">
      <alignment horizontal="center"/>
    </xf>
    <xf numFmtId="16" fontId="1" fillId="4" borderId="0" xfId="0" applyNumberFormat="1" applyFont="1" applyFill="1" applyAlignment="1">
      <alignment horizontal="center"/>
    </xf>
    <xf numFmtId="164" fontId="0" fillId="5" borderId="1" xfId="0" applyNumberFormat="1" applyFill="1" applyBorder="1"/>
    <xf numFmtId="164" fontId="1" fillId="5" borderId="0" xfId="0" applyNumberFormat="1" applyFont="1" applyFill="1" applyAlignment="1">
      <alignment horizontal="center"/>
    </xf>
    <xf numFmtId="164" fontId="0" fillId="5" borderId="0" xfId="0" applyNumberFormat="1" applyFill="1"/>
    <xf numFmtId="0" fontId="1" fillId="0" borderId="0" xfId="0" applyFont="1"/>
    <xf numFmtId="164" fontId="1" fillId="5" borderId="0" xfId="0" applyNumberFormat="1" applyFont="1" applyFill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right"/>
    </xf>
    <xf numFmtId="0" fontId="5" fillId="6" borderId="0" xfId="0" applyFont="1" applyFill="1"/>
    <xf numFmtId="164" fontId="5" fillId="6" borderId="0" xfId="0" applyNumberFormat="1" applyFont="1" applyFill="1"/>
    <xf numFmtId="164" fontId="0" fillId="2" borderId="0" xfId="0" applyNumberFormat="1" applyFill="1"/>
    <xf numFmtId="164" fontId="1" fillId="11" borderId="0" xfId="0" applyNumberFormat="1" applyFont="1" applyFill="1"/>
    <xf numFmtId="0" fontId="4" fillId="10" borderId="10" xfId="0" applyFont="1" applyFill="1" applyBorder="1" applyAlignment="1">
      <alignment horizontal="center"/>
    </xf>
    <xf numFmtId="0" fontId="4" fillId="10" borderId="11" xfId="0" applyFont="1" applyFill="1" applyBorder="1" applyAlignment="1">
      <alignment horizontal="center"/>
    </xf>
    <xf numFmtId="0" fontId="4" fillId="10" borderId="12" xfId="0" applyFont="1" applyFill="1" applyBorder="1" applyAlignment="1">
      <alignment horizontal="center"/>
    </xf>
    <xf numFmtId="44" fontId="1" fillId="12" borderId="12" xfId="0" applyNumberFormat="1" applyFont="1" applyFill="1" applyBorder="1"/>
    <xf numFmtId="14" fontId="0" fillId="13" borderId="13" xfId="0" applyNumberFormat="1" applyFill="1" applyBorder="1" applyAlignment="1">
      <alignment horizontal="center"/>
    </xf>
    <xf numFmtId="0" fontId="0" fillId="13" borderId="9" xfId="0" applyFill="1" applyBorder="1" applyAlignment="1">
      <alignment horizontal="center"/>
    </xf>
    <xf numFmtId="49" fontId="0" fillId="13" borderId="9" xfId="0" applyNumberFormat="1" applyFill="1" applyBorder="1" applyAlignment="1">
      <alignment horizontal="center"/>
    </xf>
    <xf numFmtId="44" fontId="0" fillId="13" borderId="14" xfId="0" applyNumberFormat="1" applyFill="1" applyBorder="1"/>
    <xf numFmtId="49" fontId="0" fillId="13" borderId="8" xfId="0" applyNumberFormat="1" applyFill="1" applyBorder="1" applyAlignment="1">
      <alignment horizontal="center"/>
    </xf>
    <xf numFmtId="44" fontId="0" fillId="13" borderId="15" xfId="0" applyNumberFormat="1" applyFill="1" applyBorder="1"/>
    <xf numFmtId="0" fontId="0" fillId="13" borderId="8" xfId="0" applyFill="1" applyBorder="1" applyAlignment="1">
      <alignment horizontal="center"/>
    </xf>
    <xf numFmtId="0" fontId="4" fillId="10" borderId="1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49" fontId="0" fillId="13" borderId="20" xfId="0" applyNumberFormat="1" applyFill="1" applyBorder="1" applyAlignment="1">
      <alignment horizontal="center"/>
    </xf>
    <xf numFmtId="0" fontId="0" fillId="2" borderId="0" xfId="0" applyFill="1"/>
    <xf numFmtId="16" fontId="0" fillId="13" borderId="15" xfId="0" applyNumberFormat="1" applyFill="1" applyBorder="1"/>
    <xf numFmtId="0" fontId="0" fillId="0" borderId="0" xfId="0" applyAlignment="1">
      <alignment horizontal="center" vertical="center" wrapText="1"/>
    </xf>
    <xf numFmtId="0" fontId="9" fillId="14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49" fontId="0" fillId="0" borderId="8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11" borderId="8" xfId="0" applyNumberForma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4" fillId="7" borderId="23" xfId="0" applyFont="1" applyFill="1" applyBorder="1" applyAlignment="1">
      <alignment wrapText="1"/>
    </xf>
    <xf numFmtId="164" fontId="1" fillId="8" borderId="23" xfId="0" applyNumberFormat="1" applyFont="1" applyFill="1" applyBorder="1" applyAlignment="1">
      <alignment horizontal="center" vertical="center"/>
    </xf>
    <xf numFmtId="0" fontId="0" fillId="16" borderId="0" xfId="0" applyFill="1"/>
    <xf numFmtId="0" fontId="1" fillId="12" borderId="16" xfId="0" applyFont="1" applyFill="1" applyBorder="1" applyAlignment="1">
      <alignment horizontal="center"/>
    </xf>
    <xf numFmtId="0" fontId="1" fillId="12" borderId="17" xfId="0" applyFont="1" applyFill="1" applyBorder="1" applyAlignment="1">
      <alignment horizontal="center"/>
    </xf>
    <xf numFmtId="0" fontId="1" fillId="12" borderId="18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6" fillId="9" borderId="2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165" fontId="8" fillId="10" borderId="8" xfId="0" applyNumberFormat="1" applyFont="1" applyFill="1" applyBorder="1" applyAlignment="1">
      <alignment horizontal="center"/>
    </xf>
    <xf numFmtId="14" fontId="1" fillId="15" borderId="2" xfId="0" applyNumberFormat="1" applyFont="1" applyFill="1" applyBorder="1" applyAlignment="1">
      <alignment horizontal="center"/>
    </xf>
    <xf numFmtId="14" fontId="1" fillId="15" borderId="3" xfId="0" applyNumberFormat="1" applyFont="1" applyFill="1" applyBorder="1" applyAlignment="1">
      <alignment horizontal="center"/>
    </xf>
    <xf numFmtId="14" fontId="1" fillId="15" borderId="4" xfId="0" applyNumberFormat="1" applyFont="1" applyFill="1" applyBorder="1" applyAlignment="1">
      <alignment horizontal="center"/>
    </xf>
    <xf numFmtId="14" fontId="1" fillId="15" borderId="16" xfId="0" applyNumberFormat="1" applyFont="1" applyFill="1" applyBorder="1" applyAlignment="1">
      <alignment horizontal="center"/>
    </xf>
    <xf numFmtId="14" fontId="1" fillId="15" borderId="17" xfId="0" applyNumberFormat="1" applyFont="1" applyFill="1" applyBorder="1" applyAlignment="1">
      <alignment horizontal="center"/>
    </xf>
    <xf numFmtId="14" fontId="1" fillId="15" borderId="19" xfId="0" applyNumberFormat="1" applyFont="1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2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7" xfId="0" applyFill="1" applyBorder="1" applyAlignment="1">
      <alignment horizontal="center"/>
    </xf>
  </cellXfs>
  <cellStyles count="1">
    <cellStyle name="Normal" xfId="0" builtinId="0"/>
  </cellStyles>
  <dxfs count="5">
    <dxf>
      <font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388621</xdr:colOff>
      <xdr:row>1</xdr:row>
      <xdr:rowOff>0</xdr:rowOff>
    </xdr:from>
    <xdr:to>
      <xdr:col>5</xdr:col>
      <xdr:colOff>1356361</xdr:colOff>
      <xdr:row>31</xdr:row>
      <xdr:rowOff>22860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F931CE-1D51-2CEA-3079-667B6D08D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1101" y="190500"/>
          <a:ext cx="4137660" cy="5516880"/>
        </a:xfrm>
        <a:prstGeom prst="rect">
          <a:avLst/>
        </a:prstGeom>
      </xdr:spPr>
    </xdr:pic>
    <xdr:clientData/>
  </xdr:twoCellAnchor>
  <xdr:twoCellAnchor editAs="oneCell">
    <xdr:from>
      <xdr:col>5</xdr:col>
      <xdr:colOff>3697603</xdr:colOff>
      <xdr:row>0</xdr:row>
      <xdr:rowOff>175260</xdr:rowOff>
    </xdr:from>
    <xdr:to>
      <xdr:col>11</xdr:col>
      <xdr:colOff>1935478</xdr:colOff>
      <xdr:row>43</xdr:row>
      <xdr:rowOff>167640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5367337-6426-4ED0-63AA-1C774A0B7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60003" y="175260"/>
          <a:ext cx="5903595" cy="7871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F0546-E0A7-456A-A674-AD9E19479F14}">
  <dimension ref="A2:G72"/>
  <sheetViews>
    <sheetView showGridLines="0" topLeftCell="A30" workbookViewId="0">
      <selection activeCell="D24" sqref="D23:D24"/>
    </sheetView>
  </sheetViews>
  <sheetFormatPr baseColWidth="10" defaultRowHeight="14.4" x14ac:dyDescent="0.3"/>
  <cols>
    <col min="3" max="3" width="11.44140625" style="1"/>
    <col min="4" max="4" width="13.88671875" style="1" customWidth="1"/>
    <col min="5" max="5" width="18.44140625" style="1" customWidth="1"/>
    <col min="6" max="6" width="14" customWidth="1"/>
    <col min="7" max="7" width="118.109375" bestFit="1" customWidth="1"/>
  </cols>
  <sheetData>
    <row r="2" spans="1:6" x14ac:dyDescent="0.3">
      <c r="A2" t="s">
        <v>25</v>
      </c>
      <c r="C2"/>
      <c r="D2"/>
    </row>
    <row r="3" spans="1:6" ht="15" thickBot="1" x14ac:dyDescent="0.35"/>
    <row r="4" spans="1:6" ht="15" thickBot="1" x14ac:dyDescent="0.35">
      <c r="B4" s="23" t="s">
        <v>32</v>
      </c>
      <c r="C4" s="24" t="s">
        <v>26</v>
      </c>
      <c r="D4" s="34" t="s">
        <v>31</v>
      </c>
      <c r="E4" s="24" t="s">
        <v>30</v>
      </c>
      <c r="F4" s="25" t="s">
        <v>27</v>
      </c>
    </row>
    <row r="5" spans="1:6" x14ac:dyDescent="0.3">
      <c r="B5" s="27">
        <v>46024</v>
      </c>
      <c r="C5" s="28">
        <v>9922</v>
      </c>
      <c r="D5" s="33">
        <v>5444347</v>
      </c>
      <c r="E5" s="29" t="s">
        <v>34</v>
      </c>
      <c r="F5" s="30">
        <v>30</v>
      </c>
    </row>
    <row r="6" spans="1:6" x14ac:dyDescent="0.3">
      <c r="B6" s="27">
        <v>46025</v>
      </c>
      <c r="C6" s="28">
        <v>774</v>
      </c>
      <c r="D6" s="33">
        <v>5444616</v>
      </c>
      <c r="E6" s="29" t="s">
        <v>35</v>
      </c>
      <c r="F6" s="30">
        <v>15</v>
      </c>
    </row>
    <row r="7" spans="1:6" x14ac:dyDescent="0.3">
      <c r="B7" s="27">
        <v>46025</v>
      </c>
      <c r="C7" s="28">
        <v>774</v>
      </c>
      <c r="D7" s="33">
        <v>5444658</v>
      </c>
      <c r="E7" s="29" t="s">
        <v>36</v>
      </c>
      <c r="F7" s="30">
        <v>35</v>
      </c>
    </row>
    <row r="8" spans="1:6" x14ac:dyDescent="0.3">
      <c r="B8" s="27">
        <v>46025</v>
      </c>
      <c r="C8" s="28">
        <v>3198</v>
      </c>
      <c r="D8" s="33">
        <v>5444689</v>
      </c>
      <c r="E8" s="31" t="s">
        <v>37</v>
      </c>
      <c r="F8" s="32">
        <v>31</v>
      </c>
    </row>
    <row r="9" spans="1:6" x14ac:dyDescent="0.3">
      <c r="B9" s="27">
        <v>46025</v>
      </c>
      <c r="C9" s="28">
        <v>3198</v>
      </c>
      <c r="D9" s="33">
        <v>5445513</v>
      </c>
      <c r="E9" s="31" t="s">
        <v>38</v>
      </c>
      <c r="F9" s="38">
        <v>60</v>
      </c>
    </row>
    <row r="10" spans="1:6" x14ac:dyDescent="0.3">
      <c r="B10" s="27">
        <v>46025</v>
      </c>
      <c r="C10" s="28">
        <v>3198</v>
      </c>
      <c r="D10" s="33">
        <v>5444637</v>
      </c>
      <c r="E10" s="31" t="s">
        <v>39</v>
      </c>
      <c r="F10" s="32">
        <v>60</v>
      </c>
    </row>
    <row r="11" spans="1:6" x14ac:dyDescent="0.3">
      <c r="B11" s="27">
        <v>46025</v>
      </c>
      <c r="C11" s="28">
        <v>3746</v>
      </c>
      <c r="D11" s="33">
        <v>5444648</v>
      </c>
      <c r="E11" s="31" t="s">
        <v>40</v>
      </c>
      <c r="F11" s="32">
        <v>40</v>
      </c>
    </row>
    <row r="12" spans="1:6" x14ac:dyDescent="0.3">
      <c r="B12" s="27">
        <v>46025</v>
      </c>
      <c r="C12" s="28">
        <v>3746</v>
      </c>
      <c r="D12" s="33">
        <v>5444670</v>
      </c>
      <c r="E12" s="31" t="s">
        <v>41</v>
      </c>
      <c r="F12" s="32">
        <v>30</v>
      </c>
    </row>
    <row r="13" spans="1:6" x14ac:dyDescent="0.3">
      <c r="B13" s="27">
        <v>46025</v>
      </c>
      <c r="C13" s="28">
        <v>3746</v>
      </c>
      <c r="D13" s="33">
        <v>5444589</v>
      </c>
      <c r="E13" s="31" t="s">
        <v>42</v>
      </c>
      <c r="F13" s="32">
        <v>30</v>
      </c>
    </row>
    <row r="14" spans="1:6" x14ac:dyDescent="0.3">
      <c r="B14" s="27">
        <v>46025</v>
      </c>
      <c r="C14" s="28">
        <v>7474</v>
      </c>
      <c r="D14" s="33">
        <v>5444605</v>
      </c>
      <c r="E14" s="31" t="s">
        <v>43</v>
      </c>
      <c r="F14" s="32">
        <v>40</v>
      </c>
    </row>
    <row r="15" spans="1:6" x14ac:dyDescent="0.3">
      <c r="B15" s="27">
        <v>46025</v>
      </c>
      <c r="C15" s="28">
        <v>7474</v>
      </c>
      <c r="D15" s="33">
        <v>5444636</v>
      </c>
      <c r="E15" s="31" t="s">
        <v>44</v>
      </c>
      <c r="F15" s="32">
        <v>40</v>
      </c>
    </row>
    <row r="16" spans="1:6" x14ac:dyDescent="0.3">
      <c r="B16" s="27">
        <v>46025</v>
      </c>
      <c r="C16" s="28">
        <v>7474</v>
      </c>
      <c r="D16" s="33">
        <v>5444709</v>
      </c>
      <c r="E16" s="31" t="s">
        <v>45</v>
      </c>
      <c r="F16" s="32">
        <v>60</v>
      </c>
    </row>
    <row r="17" spans="2:7" x14ac:dyDescent="0.3">
      <c r="B17" s="27">
        <v>46025</v>
      </c>
      <c r="C17" s="28">
        <v>3504</v>
      </c>
      <c r="D17" s="33">
        <v>5444582</v>
      </c>
      <c r="E17" s="31" t="s">
        <v>46</v>
      </c>
      <c r="F17" s="32">
        <v>30</v>
      </c>
    </row>
    <row r="18" spans="2:7" x14ac:dyDescent="0.3">
      <c r="B18" s="27">
        <v>46025</v>
      </c>
      <c r="C18" s="28">
        <v>3504</v>
      </c>
      <c r="D18" s="33">
        <v>5444711</v>
      </c>
      <c r="E18" s="31" t="s">
        <v>47</v>
      </c>
      <c r="F18" s="32">
        <v>60</v>
      </c>
    </row>
    <row r="19" spans="2:7" x14ac:dyDescent="0.3">
      <c r="B19" s="27">
        <v>46025</v>
      </c>
      <c r="C19" s="28">
        <v>3504</v>
      </c>
      <c r="D19" s="33">
        <v>5444621</v>
      </c>
      <c r="E19" s="31" t="s">
        <v>48</v>
      </c>
      <c r="F19" s="32">
        <v>130</v>
      </c>
    </row>
    <row r="20" spans="2:7" x14ac:dyDescent="0.3">
      <c r="B20" s="27">
        <v>46025</v>
      </c>
      <c r="C20" s="28">
        <v>3996</v>
      </c>
      <c r="D20" s="33">
        <v>5444584</v>
      </c>
      <c r="E20" s="36" t="s">
        <v>49</v>
      </c>
      <c r="F20" s="32">
        <v>75</v>
      </c>
    </row>
    <row r="21" spans="2:7" x14ac:dyDescent="0.3">
      <c r="B21" s="27">
        <v>46025</v>
      </c>
      <c r="C21" s="28">
        <v>3996</v>
      </c>
      <c r="D21" s="33">
        <v>5444668</v>
      </c>
      <c r="E21" s="36" t="s">
        <v>50</v>
      </c>
      <c r="F21" s="32">
        <v>100</v>
      </c>
    </row>
    <row r="22" spans="2:7" x14ac:dyDescent="0.3">
      <c r="B22" s="27">
        <v>46025</v>
      </c>
      <c r="C22" s="28">
        <v>3996</v>
      </c>
      <c r="D22" s="33">
        <v>5444626</v>
      </c>
      <c r="E22" s="36" t="s">
        <v>51</v>
      </c>
      <c r="F22" s="32">
        <v>50</v>
      </c>
    </row>
    <row r="23" spans="2:7" x14ac:dyDescent="0.3">
      <c r="B23" s="27">
        <v>46025</v>
      </c>
      <c r="C23" s="28">
        <v>3996</v>
      </c>
      <c r="D23" s="33">
        <v>5444653</v>
      </c>
      <c r="E23" s="36" t="s">
        <v>52</v>
      </c>
      <c r="F23" s="32">
        <v>35</v>
      </c>
      <c r="G23" s="35"/>
    </row>
    <row r="24" spans="2:7" x14ac:dyDescent="0.3">
      <c r="B24" s="27">
        <v>46025</v>
      </c>
      <c r="C24" s="28">
        <v>3659</v>
      </c>
      <c r="D24" s="33">
        <v>5444686</v>
      </c>
      <c r="E24" s="36" t="s">
        <v>53</v>
      </c>
      <c r="F24" s="32">
        <v>50</v>
      </c>
      <c r="G24" s="35"/>
    </row>
    <row r="25" spans="2:7" x14ac:dyDescent="0.3">
      <c r="B25" s="27">
        <v>46025</v>
      </c>
      <c r="C25" s="28">
        <v>3659</v>
      </c>
      <c r="D25" s="33">
        <v>5444699</v>
      </c>
      <c r="E25" s="36" t="s">
        <v>54</v>
      </c>
      <c r="F25" s="32">
        <v>60</v>
      </c>
    </row>
    <row r="26" spans="2:7" x14ac:dyDescent="0.3">
      <c r="B26" s="27">
        <v>46025</v>
      </c>
      <c r="C26" s="28">
        <v>3659</v>
      </c>
      <c r="D26" s="33">
        <v>5444698</v>
      </c>
      <c r="E26" s="36" t="s">
        <v>55</v>
      </c>
      <c r="F26" s="32">
        <v>147</v>
      </c>
    </row>
    <row r="27" spans="2:7" x14ac:dyDescent="0.3">
      <c r="B27" s="27">
        <v>46025</v>
      </c>
      <c r="C27" s="28">
        <v>3659</v>
      </c>
      <c r="D27" s="33">
        <v>5444640</v>
      </c>
      <c r="E27" s="36" t="s">
        <v>56</v>
      </c>
      <c r="F27" s="32">
        <v>40</v>
      </c>
    </row>
    <row r="28" spans="2:7" x14ac:dyDescent="0.3">
      <c r="B28" s="27">
        <v>46025</v>
      </c>
      <c r="C28" s="28">
        <v>3659</v>
      </c>
      <c r="D28" s="33">
        <v>5444710</v>
      </c>
      <c r="E28" s="36" t="s">
        <v>57</v>
      </c>
      <c r="F28" s="32">
        <v>50</v>
      </c>
    </row>
    <row r="29" spans="2:7" x14ac:dyDescent="0.3">
      <c r="B29" s="27">
        <v>46025</v>
      </c>
      <c r="C29" s="28">
        <v>9922</v>
      </c>
      <c r="D29" s="33">
        <v>5444641</v>
      </c>
      <c r="E29" s="31" t="s">
        <v>58</v>
      </c>
      <c r="F29" s="32">
        <v>25</v>
      </c>
    </row>
    <row r="30" spans="2:7" x14ac:dyDescent="0.3">
      <c r="B30" s="27">
        <v>46025</v>
      </c>
      <c r="C30" s="28">
        <v>9922</v>
      </c>
      <c r="D30" s="33">
        <v>5444674</v>
      </c>
      <c r="E30" s="31" t="s">
        <v>59</v>
      </c>
      <c r="F30" s="32">
        <v>50</v>
      </c>
    </row>
    <row r="31" spans="2:7" x14ac:dyDescent="0.3">
      <c r="B31" s="27">
        <v>46025</v>
      </c>
      <c r="C31" s="28">
        <v>7045</v>
      </c>
      <c r="D31" s="33">
        <v>5444663</v>
      </c>
      <c r="E31" s="31" t="s">
        <v>60</v>
      </c>
      <c r="F31" s="32">
        <v>60</v>
      </c>
    </row>
    <row r="32" spans="2:7" x14ac:dyDescent="0.3">
      <c r="B32" s="27">
        <v>46025</v>
      </c>
      <c r="C32" s="28">
        <v>7045</v>
      </c>
      <c r="D32" s="33">
        <v>5444704</v>
      </c>
      <c r="E32" s="31" t="s">
        <v>61</v>
      </c>
      <c r="F32" s="32">
        <v>60</v>
      </c>
    </row>
    <row r="33" spans="2:6" x14ac:dyDescent="0.3">
      <c r="B33" s="27">
        <v>46025</v>
      </c>
      <c r="C33" s="28">
        <v>3788</v>
      </c>
      <c r="D33" s="33">
        <v>5444639</v>
      </c>
      <c r="E33" s="31" t="s">
        <v>62</v>
      </c>
      <c r="F33" s="32">
        <v>30</v>
      </c>
    </row>
    <row r="34" spans="2:6" x14ac:dyDescent="0.3">
      <c r="B34" s="27">
        <v>46025</v>
      </c>
      <c r="C34" s="28">
        <v>3788</v>
      </c>
      <c r="D34" s="33">
        <v>5444694</v>
      </c>
      <c r="E34" s="31" t="s">
        <v>63</v>
      </c>
      <c r="F34" s="32">
        <v>40</v>
      </c>
    </row>
    <row r="35" spans="2:6" x14ac:dyDescent="0.3">
      <c r="B35" s="27">
        <v>46025</v>
      </c>
      <c r="C35" s="28">
        <v>4087</v>
      </c>
      <c r="D35" s="33">
        <v>5444613</v>
      </c>
      <c r="E35" s="31" t="s">
        <v>64</v>
      </c>
      <c r="F35" s="32">
        <v>30</v>
      </c>
    </row>
    <row r="36" spans="2:6" x14ac:dyDescent="0.3">
      <c r="B36" s="27">
        <v>46025</v>
      </c>
      <c r="C36" s="28">
        <v>4087</v>
      </c>
      <c r="D36" s="33">
        <v>5444645</v>
      </c>
      <c r="E36" s="31" t="s">
        <v>65</v>
      </c>
      <c r="F36" s="32">
        <v>50</v>
      </c>
    </row>
    <row r="37" spans="2:6" x14ac:dyDescent="0.3">
      <c r="B37" s="27">
        <v>46025</v>
      </c>
      <c r="C37" s="28">
        <v>4087</v>
      </c>
      <c r="D37" s="33">
        <v>5444662</v>
      </c>
      <c r="E37" s="31" t="s">
        <v>66</v>
      </c>
      <c r="F37" s="32">
        <v>55</v>
      </c>
    </row>
    <row r="38" spans="2:6" x14ac:dyDescent="0.3">
      <c r="B38" s="27">
        <v>46025</v>
      </c>
      <c r="C38" s="28">
        <v>9120</v>
      </c>
      <c r="D38" s="33">
        <v>5444647</v>
      </c>
      <c r="E38" s="31" t="s">
        <v>67</v>
      </c>
      <c r="F38" s="32">
        <v>50</v>
      </c>
    </row>
    <row r="39" spans="2:6" x14ac:dyDescent="0.3">
      <c r="B39" s="27">
        <v>46025</v>
      </c>
      <c r="C39" s="28">
        <v>9120</v>
      </c>
      <c r="D39" s="31" t="s">
        <v>69</v>
      </c>
      <c r="E39" s="31" t="s">
        <v>68</v>
      </c>
      <c r="F39" s="32">
        <v>70</v>
      </c>
    </row>
    <row r="40" spans="2:6" x14ac:dyDescent="0.3">
      <c r="B40" s="27">
        <v>46025</v>
      </c>
      <c r="C40" s="28">
        <v>9245</v>
      </c>
      <c r="D40" s="33">
        <v>5444714</v>
      </c>
      <c r="E40" s="31" t="s">
        <v>70</v>
      </c>
      <c r="F40" s="32">
        <v>50</v>
      </c>
    </row>
    <row r="41" spans="2:6" x14ac:dyDescent="0.3">
      <c r="B41" s="27">
        <v>46025</v>
      </c>
      <c r="C41" s="28">
        <v>9245</v>
      </c>
      <c r="D41" s="33">
        <v>5444680</v>
      </c>
      <c r="E41" s="31" t="s">
        <v>71</v>
      </c>
      <c r="F41" s="32">
        <v>40</v>
      </c>
    </row>
    <row r="42" spans="2:6" x14ac:dyDescent="0.3">
      <c r="B42" s="27">
        <v>46025</v>
      </c>
      <c r="C42" s="28">
        <v>9245</v>
      </c>
      <c r="D42" s="33">
        <v>5444635</v>
      </c>
      <c r="E42" s="31" t="s">
        <v>72</v>
      </c>
      <c r="F42" s="32">
        <v>30</v>
      </c>
    </row>
    <row r="43" spans="2:6" x14ac:dyDescent="0.3">
      <c r="B43" s="27">
        <v>46025</v>
      </c>
      <c r="C43" s="28">
        <v>9245</v>
      </c>
      <c r="D43" s="33">
        <v>5444715</v>
      </c>
      <c r="E43" s="31" t="s">
        <v>73</v>
      </c>
      <c r="F43" s="32">
        <v>35</v>
      </c>
    </row>
    <row r="44" spans="2:6" x14ac:dyDescent="0.3">
      <c r="B44" s="27">
        <v>46025</v>
      </c>
      <c r="C44" s="28">
        <v>1718</v>
      </c>
      <c r="D44" s="33">
        <v>5444666</v>
      </c>
      <c r="E44" s="31" t="s">
        <v>74</v>
      </c>
      <c r="F44" s="32">
        <v>80</v>
      </c>
    </row>
    <row r="45" spans="2:6" x14ac:dyDescent="0.3">
      <c r="B45" s="27">
        <v>46025</v>
      </c>
      <c r="C45" s="28">
        <v>1718</v>
      </c>
      <c r="D45" s="33">
        <v>5444652</v>
      </c>
      <c r="E45" s="31" t="s">
        <v>75</v>
      </c>
      <c r="F45" s="32">
        <v>30</v>
      </c>
    </row>
    <row r="46" spans="2:6" x14ac:dyDescent="0.3">
      <c r="B46" s="27">
        <v>46025</v>
      </c>
      <c r="C46" s="28">
        <v>3685</v>
      </c>
      <c r="D46" s="33">
        <v>5444678</v>
      </c>
      <c r="E46" s="31" t="s">
        <v>76</v>
      </c>
      <c r="F46" s="32">
        <v>130</v>
      </c>
    </row>
    <row r="47" spans="2:6" x14ac:dyDescent="0.3">
      <c r="B47" s="27">
        <v>46025</v>
      </c>
      <c r="C47" s="28">
        <v>3685</v>
      </c>
      <c r="D47" s="33">
        <v>5444638</v>
      </c>
      <c r="E47" s="31" t="s">
        <v>77</v>
      </c>
      <c r="F47" s="32">
        <v>40</v>
      </c>
    </row>
    <row r="48" spans="2:6" x14ac:dyDescent="0.3">
      <c r="B48" s="27">
        <v>46025</v>
      </c>
      <c r="C48" s="28">
        <v>3685</v>
      </c>
      <c r="D48" s="33">
        <v>5444697</v>
      </c>
      <c r="E48" s="31" t="s">
        <v>78</v>
      </c>
      <c r="F48" s="32">
        <v>35</v>
      </c>
    </row>
    <row r="49" spans="2:6" x14ac:dyDescent="0.3">
      <c r="B49" s="27">
        <v>46025</v>
      </c>
      <c r="C49" s="28">
        <v>1594</v>
      </c>
      <c r="D49" s="33">
        <v>5444627</v>
      </c>
      <c r="E49" s="31" t="s">
        <v>79</v>
      </c>
      <c r="F49" s="32">
        <v>40</v>
      </c>
    </row>
    <row r="50" spans="2:6" x14ac:dyDescent="0.3">
      <c r="B50" s="27">
        <v>46025</v>
      </c>
      <c r="C50" s="28">
        <v>1594</v>
      </c>
      <c r="D50" s="33">
        <v>5444673</v>
      </c>
      <c r="E50" s="31" t="s">
        <v>80</v>
      </c>
      <c r="F50" s="32">
        <v>40</v>
      </c>
    </row>
    <row r="51" spans="2:6" x14ac:dyDescent="0.3">
      <c r="B51" s="27">
        <v>46025</v>
      </c>
      <c r="C51" s="28">
        <v>1594</v>
      </c>
      <c r="D51" s="33">
        <v>5444657</v>
      </c>
      <c r="E51" s="31" t="s">
        <v>81</v>
      </c>
      <c r="F51" s="32">
        <v>40</v>
      </c>
    </row>
    <row r="52" spans="2:6" x14ac:dyDescent="0.3">
      <c r="B52" s="27">
        <v>46025</v>
      </c>
      <c r="C52" s="28">
        <v>9172</v>
      </c>
      <c r="D52" s="33">
        <v>5444594</v>
      </c>
      <c r="E52" s="31" t="s">
        <v>82</v>
      </c>
      <c r="F52" s="32">
        <v>35</v>
      </c>
    </row>
    <row r="53" spans="2:6" x14ac:dyDescent="0.3">
      <c r="B53" s="27">
        <v>46025</v>
      </c>
      <c r="C53" s="28">
        <v>722</v>
      </c>
      <c r="D53" s="33">
        <v>5444687</v>
      </c>
      <c r="E53" s="31" t="s">
        <v>83</v>
      </c>
      <c r="F53" s="32">
        <v>63</v>
      </c>
    </row>
    <row r="54" spans="2:6" x14ac:dyDescent="0.3">
      <c r="B54" s="27">
        <v>46025</v>
      </c>
      <c r="C54" s="28">
        <v>722</v>
      </c>
      <c r="D54" s="33">
        <v>5444685</v>
      </c>
      <c r="E54" s="31" t="s">
        <v>84</v>
      </c>
      <c r="F54" s="32">
        <v>38</v>
      </c>
    </row>
    <row r="55" spans="2:6" x14ac:dyDescent="0.3">
      <c r="B55" s="27">
        <v>46025</v>
      </c>
      <c r="C55" s="28">
        <v>722</v>
      </c>
      <c r="D55" s="33">
        <v>5444683</v>
      </c>
      <c r="E55" s="31" t="s">
        <v>85</v>
      </c>
      <c r="F55" s="32">
        <v>125</v>
      </c>
    </row>
    <row r="56" spans="2:6" x14ac:dyDescent="0.3">
      <c r="B56" s="27">
        <v>46025</v>
      </c>
      <c r="C56" s="28">
        <v>4027</v>
      </c>
      <c r="D56" s="33">
        <v>5444655</v>
      </c>
      <c r="E56" s="31" t="s">
        <v>86</v>
      </c>
      <c r="F56" s="32">
        <v>30</v>
      </c>
    </row>
    <row r="57" spans="2:6" x14ac:dyDescent="0.3">
      <c r="B57" s="27">
        <v>46025</v>
      </c>
      <c r="C57" s="28">
        <v>4027</v>
      </c>
      <c r="D57" s="33">
        <v>5444629</v>
      </c>
      <c r="E57" s="31" t="s">
        <v>87</v>
      </c>
      <c r="F57" s="32">
        <v>80</v>
      </c>
    </row>
    <row r="58" spans="2:6" x14ac:dyDescent="0.3">
      <c r="B58" s="27">
        <v>46025</v>
      </c>
      <c r="C58" s="28">
        <v>4027</v>
      </c>
      <c r="D58" s="33">
        <v>5444591</v>
      </c>
      <c r="E58" s="31" t="s">
        <v>88</v>
      </c>
      <c r="F58" s="32">
        <v>60</v>
      </c>
    </row>
    <row r="59" spans="2:6" x14ac:dyDescent="0.3">
      <c r="B59" s="27">
        <v>46025</v>
      </c>
      <c r="C59" s="28">
        <v>4027</v>
      </c>
      <c r="D59" s="33">
        <v>5444708</v>
      </c>
      <c r="E59" s="31" t="s">
        <v>89</v>
      </c>
      <c r="F59" s="32">
        <v>45</v>
      </c>
    </row>
    <row r="60" spans="2:6" x14ac:dyDescent="0.3">
      <c r="B60" s="27">
        <v>46025</v>
      </c>
      <c r="C60" s="28">
        <v>9461</v>
      </c>
      <c r="D60" s="33">
        <v>5444705</v>
      </c>
      <c r="E60" s="31" t="s">
        <v>90</v>
      </c>
      <c r="F60" s="32">
        <v>25</v>
      </c>
    </row>
    <row r="61" spans="2:6" x14ac:dyDescent="0.3">
      <c r="B61" s="27">
        <v>46025</v>
      </c>
      <c r="C61" s="28">
        <v>9461</v>
      </c>
      <c r="D61" s="33">
        <v>5444703</v>
      </c>
      <c r="E61" s="31" t="s">
        <v>91</v>
      </c>
      <c r="F61" s="32">
        <v>40</v>
      </c>
    </row>
    <row r="62" spans="2:6" x14ac:dyDescent="0.3">
      <c r="B62" s="27">
        <v>46025</v>
      </c>
      <c r="C62" s="28">
        <v>9443</v>
      </c>
      <c r="D62" s="33">
        <v>5445524</v>
      </c>
      <c r="E62" s="31" t="s">
        <v>92</v>
      </c>
      <c r="F62" s="32">
        <v>31</v>
      </c>
    </row>
    <row r="63" spans="2:6" x14ac:dyDescent="0.3">
      <c r="B63" s="27">
        <v>46025</v>
      </c>
      <c r="C63" s="28">
        <v>9443</v>
      </c>
      <c r="D63" s="33">
        <v>5444611</v>
      </c>
      <c r="E63" s="31" t="s">
        <v>93</v>
      </c>
      <c r="F63" s="32">
        <v>40</v>
      </c>
    </row>
    <row r="64" spans="2:6" x14ac:dyDescent="0.3">
      <c r="B64" s="27">
        <v>46025</v>
      </c>
      <c r="C64" s="28">
        <v>9443</v>
      </c>
      <c r="D64" s="39">
        <v>5445552</v>
      </c>
      <c r="E64" s="31" t="s">
        <v>94</v>
      </c>
      <c r="F64" s="32">
        <v>45</v>
      </c>
    </row>
    <row r="65" spans="2:6" x14ac:dyDescent="0.3">
      <c r="B65" s="27">
        <v>46026</v>
      </c>
      <c r="C65" s="28">
        <v>3659</v>
      </c>
      <c r="D65" s="33">
        <v>5445630</v>
      </c>
      <c r="E65" s="31" t="s">
        <v>95</v>
      </c>
      <c r="F65" s="32">
        <v>50</v>
      </c>
    </row>
    <row r="66" spans="2:6" x14ac:dyDescent="0.3">
      <c r="B66" s="27">
        <v>46026</v>
      </c>
      <c r="C66" s="28">
        <v>7474</v>
      </c>
      <c r="D66" s="33">
        <v>5445614</v>
      </c>
      <c r="E66" s="31" t="s">
        <v>96</v>
      </c>
      <c r="F66" s="32">
        <v>65</v>
      </c>
    </row>
    <row r="67" spans="2:6" x14ac:dyDescent="0.3">
      <c r="B67" s="27">
        <v>46026</v>
      </c>
      <c r="C67" s="28">
        <v>3504</v>
      </c>
      <c r="D67" s="33">
        <v>5445609</v>
      </c>
      <c r="E67" s="31" t="s">
        <v>97</v>
      </c>
      <c r="F67" s="32">
        <v>55</v>
      </c>
    </row>
    <row r="68" spans="2:6" x14ac:dyDescent="0.3">
      <c r="B68" s="27">
        <v>46026</v>
      </c>
      <c r="C68" s="28">
        <v>9461</v>
      </c>
      <c r="D68" s="33">
        <v>5445628</v>
      </c>
      <c r="E68" s="31" t="s">
        <v>98</v>
      </c>
      <c r="F68" s="32">
        <v>60</v>
      </c>
    </row>
    <row r="69" spans="2:6" x14ac:dyDescent="0.3">
      <c r="B69" s="27">
        <v>46026</v>
      </c>
      <c r="C69" s="28">
        <v>4027</v>
      </c>
      <c r="D69" s="33">
        <v>5445594</v>
      </c>
      <c r="E69" s="31" t="s">
        <v>99</v>
      </c>
      <c r="F69" s="32">
        <v>45</v>
      </c>
    </row>
    <row r="70" spans="2:6" x14ac:dyDescent="0.3">
      <c r="B70" s="27"/>
      <c r="C70" s="28"/>
      <c r="D70" s="33"/>
      <c r="E70" s="31"/>
      <c r="F70" s="32"/>
    </row>
    <row r="71" spans="2:6" ht="15" thickBot="1" x14ac:dyDescent="0.35"/>
    <row r="72" spans="2:6" ht="15" thickBot="1" x14ac:dyDescent="0.35">
      <c r="B72" s="56" t="s">
        <v>28</v>
      </c>
      <c r="C72" s="57"/>
      <c r="D72" s="57"/>
      <c r="E72" s="58"/>
      <c r="F72" s="26">
        <f>SUM(F5:F70)</f>
        <v>3340</v>
      </c>
    </row>
  </sheetData>
  <autoFilter ref="B4:F70" xr:uid="{F38F0546-E0A7-456A-A674-AD9E19479F14}"/>
  <mergeCells count="1">
    <mergeCell ref="B72:E72"/>
  </mergeCells>
  <phoneticPr fontId="7" type="noConversion"/>
  <conditionalFormatting sqref="D72:D1048576 D1 D3:D63 D65:D70">
    <cfRule type="duplicateValues" dxfId="4" priority="13"/>
  </conditionalFormatting>
  <conditionalFormatting sqref="E9">
    <cfRule type="duplicateValues" dxfId="3" priority="1"/>
  </conditionalFormatting>
  <conditionalFormatting sqref="E72:E1048576 E1:E8 E10:E70">
    <cfRule type="duplicateValues" dxfId="2" priority="16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3DB70-AC29-4EF5-B46C-CDA9ACAE6318}">
  <dimension ref="A1:M42"/>
  <sheetViews>
    <sheetView showGridLines="0" tabSelected="1" workbookViewId="0">
      <selection activeCell="E9" sqref="E9"/>
    </sheetView>
  </sheetViews>
  <sheetFormatPr baseColWidth="10" defaultRowHeight="14.4" x14ac:dyDescent="0.3"/>
  <cols>
    <col min="1" max="1" width="4.21875" customWidth="1"/>
    <col min="2" max="2" width="11.44140625" style="1"/>
    <col min="3" max="3" width="19.88671875" customWidth="1"/>
    <col min="5" max="5" width="29.33203125" bestFit="1" customWidth="1"/>
    <col min="6" max="6" width="11.44140625" style="5" customWidth="1"/>
    <col min="7" max="7" width="5.6640625" customWidth="1"/>
    <col min="8" max="8" width="34.5546875" customWidth="1"/>
    <col min="9" max="9" width="11.44140625" style="5"/>
    <col min="10" max="10" width="5.6640625" customWidth="1"/>
    <col min="11" max="11" width="30.44140625" customWidth="1"/>
    <col min="12" max="12" width="12" style="5" bestFit="1" customWidth="1"/>
  </cols>
  <sheetData>
    <row r="1" spans="1:13" ht="15" thickBot="1" x14ac:dyDescent="0.35"/>
    <row r="2" spans="1:13" x14ac:dyDescent="0.3">
      <c r="A2" s="59" t="s">
        <v>2</v>
      </c>
      <c r="B2" s="59"/>
      <c r="C2" s="59"/>
      <c r="D2" s="59"/>
      <c r="E2" s="61" t="s">
        <v>24</v>
      </c>
      <c r="F2" s="62"/>
      <c r="G2" s="62"/>
      <c r="H2" s="62"/>
      <c r="I2" s="62"/>
      <c r="J2" s="62"/>
      <c r="K2" s="62"/>
      <c r="L2" s="63"/>
    </row>
    <row r="3" spans="1:13" ht="15" thickBot="1" x14ac:dyDescent="0.35">
      <c r="E3" s="64"/>
      <c r="F3" s="65"/>
      <c r="G3" s="65"/>
      <c r="H3" s="65"/>
      <c r="I3" s="65"/>
      <c r="J3" s="65"/>
      <c r="K3" s="65"/>
      <c r="L3" s="66"/>
    </row>
    <row r="4" spans="1:13" x14ac:dyDescent="0.3">
      <c r="B4" s="8" t="s">
        <v>0</v>
      </c>
      <c r="C4" s="9" t="s">
        <v>33</v>
      </c>
    </row>
    <row r="5" spans="1:13" x14ac:dyDescent="0.3">
      <c r="E5" s="60" t="s">
        <v>20</v>
      </c>
      <c r="F5" s="60"/>
      <c r="G5" s="60"/>
      <c r="H5" s="60"/>
      <c r="I5" s="60"/>
      <c r="J5" s="60"/>
      <c r="K5" s="60"/>
      <c r="L5" s="60"/>
    </row>
    <row r="6" spans="1:13" x14ac:dyDescent="0.3">
      <c r="B6" s="6" t="s">
        <v>1</v>
      </c>
      <c r="C6" s="7" t="s">
        <v>3</v>
      </c>
      <c r="D6" s="7" t="s">
        <v>136</v>
      </c>
    </row>
    <row r="7" spans="1:13" x14ac:dyDescent="0.3">
      <c r="A7">
        <v>1</v>
      </c>
      <c r="B7" s="1">
        <v>774</v>
      </c>
      <c r="C7" s="2">
        <v>100</v>
      </c>
      <c r="E7" t="s">
        <v>4</v>
      </c>
      <c r="F7" s="21">
        <v>2020</v>
      </c>
      <c r="H7" t="s">
        <v>7</v>
      </c>
      <c r="I7" s="21">
        <f>DETALLE!F72</f>
        <v>3340</v>
      </c>
      <c r="K7" t="s">
        <v>10</v>
      </c>
      <c r="L7" s="21">
        <v>3500</v>
      </c>
    </row>
    <row r="8" spans="1:13" x14ac:dyDescent="0.3">
      <c r="A8">
        <v>2</v>
      </c>
      <c r="B8" s="1">
        <v>3996</v>
      </c>
      <c r="C8" s="2">
        <v>100</v>
      </c>
      <c r="E8" s="4" t="s">
        <v>5</v>
      </c>
      <c r="F8" s="10">
        <f>C42-F7</f>
        <v>100</v>
      </c>
      <c r="H8" s="4" t="s">
        <v>8</v>
      </c>
      <c r="I8" s="10">
        <f>F8</f>
        <v>100</v>
      </c>
      <c r="K8" s="4" t="s">
        <v>9</v>
      </c>
      <c r="L8" s="10">
        <f>I9</f>
        <v>3240</v>
      </c>
    </row>
    <row r="9" spans="1:13" x14ac:dyDescent="0.3">
      <c r="A9">
        <v>3</v>
      </c>
      <c r="B9" s="1">
        <v>3504</v>
      </c>
      <c r="C9" s="2">
        <v>100</v>
      </c>
      <c r="E9" s="15" t="s">
        <v>6</v>
      </c>
      <c r="F9" s="14">
        <f>F7</f>
        <v>2020</v>
      </c>
      <c r="G9" s="3"/>
      <c r="H9" s="13" t="s">
        <v>9</v>
      </c>
      <c r="I9" s="14">
        <f>I7-I8</f>
        <v>3240</v>
      </c>
      <c r="J9" s="3"/>
      <c r="K9" s="15" t="s">
        <v>11</v>
      </c>
      <c r="L9" s="14">
        <f>+L7-L8</f>
        <v>260</v>
      </c>
    </row>
    <row r="10" spans="1:13" x14ac:dyDescent="0.3">
      <c r="A10">
        <v>4</v>
      </c>
      <c r="B10" s="1">
        <v>3659</v>
      </c>
      <c r="C10" s="2">
        <v>100</v>
      </c>
    </row>
    <row r="11" spans="1:13" x14ac:dyDescent="0.3">
      <c r="A11">
        <v>5</v>
      </c>
      <c r="B11" s="1">
        <v>4027</v>
      </c>
      <c r="C11" s="2">
        <v>100</v>
      </c>
      <c r="E11" s="19" t="s">
        <v>22</v>
      </c>
      <c r="F11" s="20">
        <f>F9+L9</f>
        <v>2280</v>
      </c>
    </row>
    <row r="12" spans="1:13" x14ac:dyDescent="0.3">
      <c r="A12">
        <v>6</v>
      </c>
      <c r="B12" s="1">
        <v>4087</v>
      </c>
      <c r="C12" s="2">
        <v>100</v>
      </c>
      <c r="E12" s="16"/>
      <c r="F12" s="17"/>
    </row>
    <row r="13" spans="1:13" x14ac:dyDescent="0.3">
      <c r="A13">
        <v>7</v>
      </c>
      <c r="B13" s="1">
        <v>7559</v>
      </c>
      <c r="C13" s="2">
        <v>100</v>
      </c>
      <c r="E13" s="60" t="s">
        <v>12</v>
      </c>
      <c r="F13" s="60"/>
      <c r="G13" s="60"/>
      <c r="H13" s="60"/>
      <c r="I13" s="60"/>
      <c r="J13" s="60"/>
      <c r="K13" s="60"/>
      <c r="L13" s="60"/>
      <c r="M13" t="s">
        <v>29</v>
      </c>
    </row>
    <row r="14" spans="1:13" x14ac:dyDescent="0.3">
      <c r="A14">
        <v>8</v>
      </c>
      <c r="B14" s="1">
        <v>7045</v>
      </c>
      <c r="C14" s="2">
        <v>100</v>
      </c>
    </row>
    <row r="15" spans="1:13" x14ac:dyDescent="0.3">
      <c r="A15">
        <v>9</v>
      </c>
      <c r="B15" s="1">
        <v>7474</v>
      </c>
      <c r="C15" s="2">
        <v>100</v>
      </c>
      <c r="E15" t="s">
        <v>17</v>
      </c>
      <c r="F15" s="5">
        <v>0</v>
      </c>
      <c r="H15" t="s">
        <v>7</v>
      </c>
      <c r="I15" s="5">
        <v>0</v>
      </c>
      <c r="K15" t="s">
        <v>10</v>
      </c>
      <c r="L15" s="5">
        <v>0</v>
      </c>
    </row>
    <row r="16" spans="1:13" x14ac:dyDescent="0.3">
      <c r="A16">
        <v>10</v>
      </c>
      <c r="B16" s="1">
        <v>9120</v>
      </c>
      <c r="C16" s="2">
        <v>100</v>
      </c>
      <c r="E16" s="4" t="s">
        <v>14</v>
      </c>
      <c r="F16" s="10">
        <f>F15*0.3</f>
        <v>0</v>
      </c>
      <c r="H16" s="4" t="s">
        <v>18</v>
      </c>
      <c r="I16" s="10">
        <f>I15*0.3</f>
        <v>0</v>
      </c>
      <c r="K16" s="4" t="s">
        <v>9</v>
      </c>
      <c r="L16" s="10">
        <f>I17</f>
        <v>0</v>
      </c>
    </row>
    <row r="17" spans="1:12" x14ac:dyDescent="0.3">
      <c r="A17">
        <v>11</v>
      </c>
      <c r="B17" s="1">
        <v>9172</v>
      </c>
      <c r="C17" s="2">
        <v>100</v>
      </c>
      <c r="E17" s="13" t="s">
        <v>13</v>
      </c>
      <c r="F17" s="14">
        <f>F15-F16</f>
        <v>0</v>
      </c>
      <c r="G17" s="3"/>
      <c r="H17" s="13" t="s">
        <v>9</v>
      </c>
      <c r="I17" s="14">
        <f>I15-I16</f>
        <v>0</v>
      </c>
      <c r="K17" s="15" t="s">
        <v>11</v>
      </c>
      <c r="L17" s="14">
        <f>L15-L16</f>
        <v>0</v>
      </c>
    </row>
    <row r="18" spans="1:12" x14ac:dyDescent="0.3">
      <c r="A18">
        <v>12</v>
      </c>
      <c r="B18" s="1">
        <v>9461</v>
      </c>
      <c r="C18" s="2">
        <v>100</v>
      </c>
      <c r="E18" s="13" t="s">
        <v>16</v>
      </c>
      <c r="F18" s="14">
        <f>F16</f>
        <v>0</v>
      </c>
    </row>
    <row r="19" spans="1:12" x14ac:dyDescent="0.3">
      <c r="A19">
        <v>13</v>
      </c>
      <c r="B19" s="1">
        <v>1594</v>
      </c>
      <c r="C19" s="2">
        <v>100</v>
      </c>
      <c r="H19" t="s">
        <v>15</v>
      </c>
      <c r="I19" s="12">
        <f>F15-I15</f>
        <v>0</v>
      </c>
    </row>
    <row r="20" spans="1:12" x14ac:dyDescent="0.3">
      <c r="A20">
        <v>14</v>
      </c>
      <c r="B20" s="1">
        <v>9245</v>
      </c>
      <c r="C20" s="2">
        <v>100</v>
      </c>
      <c r="H20" s="4" t="s">
        <v>21</v>
      </c>
      <c r="I20" s="10">
        <f>I19*0.3</f>
        <v>0</v>
      </c>
    </row>
    <row r="21" spans="1:12" x14ac:dyDescent="0.3">
      <c r="A21">
        <v>15</v>
      </c>
      <c r="B21" s="1">
        <v>3685</v>
      </c>
      <c r="C21" s="2">
        <v>60</v>
      </c>
      <c r="H21" s="15" t="s">
        <v>6</v>
      </c>
      <c r="I21" s="14">
        <f>I20</f>
        <v>0</v>
      </c>
    </row>
    <row r="22" spans="1:12" x14ac:dyDescent="0.3">
      <c r="A22">
        <v>16</v>
      </c>
      <c r="B22" s="1">
        <v>3788</v>
      </c>
      <c r="C22" s="2">
        <v>60</v>
      </c>
      <c r="H22" s="18" t="s">
        <v>19</v>
      </c>
      <c r="I22" s="14">
        <f>I13+I18</f>
        <v>0</v>
      </c>
      <c r="K22" s="5"/>
      <c r="L22"/>
    </row>
    <row r="23" spans="1:12" x14ac:dyDescent="0.3">
      <c r="A23">
        <v>17</v>
      </c>
      <c r="B23" s="1">
        <v>4041</v>
      </c>
      <c r="C23" s="2">
        <v>60</v>
      </c>
      <c r="I23" s="14">
        <f>F15-I22</f>
        <v>0</v>
      </c>
      <c r="K23" s="5"/>
      <c r="L23"/>
    </row>
    <row r="24" spans="1:12" x14ac:dyDescent="0.3">
      <c r="A24">
        <v>18</v>
      </c>
      <c r="B24" s="1">
        <v>3746</v>
      </c>
      <c r="C24" s="2">
        <v>60</v>
      </c>
      <c r="E24" s="19" t="s">
        <v>22</v>
      </c>
      <c r="F24" s="20">
        <f>I21+L17</f>
        <v>0</v>
      </c>
      <c r="H24" s="15"/>
      <c r="I24"/>
      <c r="K24" s="5"/>
      <c r="L24"/>
    </row>
    <row r="25" spans="1:12" x14ac:dyDescent="0.3">
      <c r="A25">
        <v>19</v>
      </c>
      <c r="B25" s="1">
        <v>9922</v>
      </c>
      <c r="C25" s="2">
        <v>60</v>
      </c>
      <c r="H25" s="15"/>
      <c r="I25"/>
      <c r="K25" s="5"/>
      <c r="L25"/>
    </row>
    <row r="26" spans="1:12" ht="15" thickBot="1" x14ac:dyDescent="0.35">
      <c r="A26">
        <v>20</v>
      </c>
      <c r="B26" s="1">
        <v>722</v>
      </c>
      <c r="C26" s="2">
        <v>60</v>
      </c>
      <c r="H26" s="15"/>
      <c r="I26"/>
      <c r="K26" s="5"/>
      <c r="L26"/>
    </row>
    <row r="27" spans="1:12" ht="28.8" x14ac:dyDescent="0.3">
      <c r="A27">
        <v>21</v>
      </c>
      <c r="B27" s="1">
        <v>2736</v>
      </c>
      <c r="C27" s="2">
        <v>60</v>
      </c>
      <c r="E27" s="53" t="s">
        <v>23</v>
      </c>
      <c r="F27" s="54">
        <f>F11+F24</f>
        <v>2280</v>
      </c>
      <c r="H27" s="15"/>
      <c r="I27"/>
      <c r="K27" s="5"/>
      <c r="L27"/>
    </row>
    <row r="28" spans="1:12" x14ac:dyDescent="0.3">
      <c r="A28">
        <v>22</v>
      </c>
      <c r="B28" s="1">
        <v>9443</v>
      </c>
      <c r="C28" s="2">
        <v>60</v>
      </c>
      <c r="H28" s="15"/>
      <c r="I28"/>
      <c r="K28" s="5"/>
      <c r="L28"/>
    </row>
    <row r="29" spans="1:12" x14ac:dyDescent="0.3">
      <c r="A29">
        <v>24</v>
      </c>
      <c r="B29" s="1">
        <v>1718</v>
      </c>
      <c r="C29" s="2">
        <v>60</v>
      </c>
      <c r="H29" s="15"/>
      <c r="I29"/>
      <c r="K29" s="5"/>
      <c r="L29"/>
    </row>
    <row r="30" spans="1:12" x14ac:dyDescent="0.3">
      <c r="A30">
        <v>25</v>
      </c>
      <c r="B30" s="1">
        <v>3198</v>
      </c>
      <c r="C30" s="2">
        <v>60</v>
      </c>
      <c r="H30" s="15"/>
      <c r="I30"/>
      <c r="K30" s="5"/>
      <c r="L30"/>
    </row>
    <row r="31" spans="1:12" x14ac:dyDescent="0.3">
      <c r="A31" s="37">
        <v>26</v>
      </c>
      <c r="B31" s="1">
        <v>3883</v>
      </c>
      <c r="C31" s="2">
        <v>60</v>
      </c>
      <c r="H31" s="18"/>
      <c r="I31" s="22"/>
    </row>
    <row r="32" spans="1:12" x14ac:dyDescent="0.3">
      <c r="A32">
        <v>27</v>
      </c>
      <c r="B32" s="1">
        <v>2613</v>
      </c>
      <c r="C32" s="2">
        <v>60</v>
      </c>
      <c r="I32" s="22"/>
    </row>
    <row r="33" spans="1:3" x14ac:dyDescent="0.3">
      <c r="A33">
        <v>28</v>
      </c>
      <c r="C33" s="2"/>
    </row>
    <row r="34" spans="1:3" x14ac:dyDescent="0.3">
      <c r="A34">
        <v>29</v>
      </c>
      <c r="C34" s="2"/>
    </row>
    <row r="35" spans="1:3" x14ac:dyDescent="0.3">
      <c r="A35">
        <v>30</v>
      </c>
      <c r="C35" s="2"/>
    </row>
    <row r="36" spans="1:3" x14ac:dyDescent="0.3">
      <c r="A36">
        <v>31</v>
      </c>
      <c r="C36" s="2"/>
    </row>
    <row r="37" spans="1:3" x14ac:dyDescent="0.3">
      <c r="A37">
        <v>32</v>
      </c>
      <c r="C37" s="2"/>
    </row>
    <row r="38" spans="1:3" x14ac:dyDescent="0.3">
      <c r="A38">
        <v>33</v>
      </c>
      <c r="C38" s="2"/>
    </row>
    <row r="39" spans="1:3" x14ac:dyDescent="0.3">
      <c r="A39">
        <v>34</v>
      </c>
      <c r="C39" s="2"/>
    </row>
    <row r="40" spans="1:3" x14ac:dyDescent="0.3">
      <c r="A40">
        <v>35</v>
      </c>
      <c r="C40" s="2"/>
    </row>
    <row r="41" spans="1:3" x14ac:dyDescent="0.3">
      <c r="A41">
        <v>35</v>
      </c>
    </row>
    <row r="42" spans="1:3" x14ac:dyDescent="0.3">
      <c r="C42" s="11">
        <f>SUM(C7:C41)</f>
        <v>2120</v>
      </c>
    </row>
  </sheetData>
  <mergeCells count="4">
    <mergeCell ref="A2:D2"/>
    <mergeCell ref="E5:L5"/>
    <mergeCell ref="E13:L13"/>
    <mergeCell ref="E2:L3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69E68-3F94-4E38-BC6B-5D8F6D560667}">
  <dimension ref="A1:H52"/>
  <sheetViews>
    <sheetView topLeftCell="A12" workbookViewId="0">
      <selection activeCell="G25" sqref="G25"/>
    </sheetView>
  </sheetViews>
  <sheetFormatPr baseColWidth="10" defaultRowHeight="14.4" x14ac:dyDescent="0.3"/>
  <cols>
    <col min="3" max="3" width="19.109375" customWidth="1"/>
  </cols>
  <sheetData>
    <row r="1" spans="1:6" ht="21" x14ac:dyDescent="0.4">
      <c r="A1" s="1"/>
      <c r="B1" s="67"/>
      <c r="C1" s="67"/>
      <c r="D1" s="67"/>
      <c r="E1" s="67"/>
      <c r="F1" s="67"/>
    </row>
    <row r="2" spans="1:6" x14ac:dyDescent="0.3">
      <c r="A2" s="1" t="s">
        <v>100</v>
      </c>
      <c r="B2" s="40" t="s">
        <v>101</v>
      </c>
      <c r="C2" s="40" t="s">
        <v>102</v>
      </c>
      <c r="D2" s="40" t="s">
        <v>103</v>
      </c>
      <c r="E2" s="40" t="s">
        <v>104</v>
      </c>
      <c r="F2" s="40" t="s">
        <v>27</v>
      </c>
    </row>
    <row r="3" spans="1:6" x14ac:dyDescent="0.3">
      <c r="A3" s="1">
        <v>1</v>
      </c>
      <c r="B3" s="41">
        <v>4087</v>
      </c>
      <c r="C3" s="41" t="s">
        <v>105</v>
      </c>
      <c r="D3" s="41" t="s">
        <v>106</v>
      </c>
      <c r="E3" s="42" t="s">
        <v>107</v>
      </c>
      <c r="F3" s="43">
        <v>100</v>
      </c>
    </row>
    <row r="4" spans="1:6" x14ac:dyDescent="0.3">
      <c r="A4" s="1">
        <v>2</v>
      </c>
      <c r="B4" s="41">
        <v>9120</v>
      </c>
      <c r="C4" s="41" t="s">
        <v>108</v>
      </c>
      <c r="D4" s="41" t="s">
        <v>106</v>
      </c>
      <c r="E4" s="42" t="s">
        <v>109</v>
      </c>
      <c r="F4" s="43">
        <v>100</v>
      </c>
    </row>
    <row r="5" spans="1:6" x14ac:dyDescent="0.3">
      <c r="A5" s="1">
        <v>3</v>
      </c>
      <c r="B5" s="41">
        <v>3198</v>
      </c>
      <c r="C5" s="41" t="s">
        <v>108</v>
      </c>
      <c r="D5" s="41" t="s">
        <v>106</v>
      </c>
      <c r="E5" s="42" t="s">
        <v>110</v>
      </c>
      <c r="F5" s="43">
        <v>60</v>
      </c>
    </row>
    <row r="6" spans="1:6" x14ac:dyDescent="0.3">
      <c r="A6" s="1">
        <v>4</v>
      </c>
      <c r="B6" s="41">
        <v>3883</v>
      </c>
      <c r="C6" s="41" t="s">
        <v>108</v>
      </c>
      <c r="D6" s="41" t="s">
        <v>106</v>
      </c>
      <c r="E6" s="42" t="s">
        <v>111</v>
      </c>
      <c r="F6" s="43">
        <v>60</v>
      </c>
    </row>
    <row r="7" spans="1:6" x14ac:dyDescent="0.3">
      <c r="A7" s="1">
        <v>5</v>
      </c>
      <c r="B7" s="41">
        <v>3504</v>
      </c>
      <c r="C7" s="41" t="s">
        <v>108</v>
      </c>
      <c r="D7" s="41" t="s">
        <v>112</v>
      </c>
      <c r="E7" s="42" t="s">
        <v>113</v>
      </c>
      <c r="F7" s="43">
        <v>100</v>
      </c>
    </row>
    <row r="8" spans="1:6" x14ac:dyDescent="0.3">
      <c r="A8" s="1">
        <v>6</v>
      </c>
      <c r="B8" s="41">
        <v>4027</v>
      </c>
      <c r="C8" s="41" t="s">
        <v>108</v>
      </c>
      <c r="D8" s="41" t="s">
        <v>106</v>
      </c>
      <c r="E8" s="42" t="s">
        <v>114</v>
      </c>
      <c r="F8" s="43">
        <v>100</v>
      </c>
    </row>
    <row r="9" spans="1:6" x14ac:dyDescent="0.3">
      <c r="A9" s="1">
        <v>7</v>
      </c>
      <c r="B9" s="41">
        <v>2736</v>
      </c>
      <c r="C9" s="41" t="s">
        <v>108</v>
      </c>
      <c r="D9" s="41" t="s">
        <v>106</v>
      </c>
      <c r="E9" s="42" t="s">
        <v>115</v>
      </c>
      <c r="F9" s="43">
        <v>60</v>
      </c>
    </row>
    <row r="10" spans="1:6" x14ac:dyDescent="0.3">
      <c r="A10" s="1">
        <v>8</v>
      </c>
      <c r="B10" s="41">
        <v>3788</v>
      </c>
      <c r="C10" s="41" t="s">
        <v>108</v>
      </c>
      <c r="D10" s="41" t="s">
        <v>106</v>
      </c>
      <c r="E10" s="42" t="s">
        <v>117</v>
      </c>
      <c r="F10" s="43">
        <v>60</v>
      </c>
    </row>
    <row r="11" spans="1:6" x14ac:dyDescent="0.3">
      <c r="A11" s="1">
        <v>9</v>
      </c>
      <c r="B11" s="41">
        <v>722</v>
      </c>
      <c r="C11" s="41" t="s">
        <v>108</v>
      </c>
      <c r="D11" s="41" t="s">
        <v>106</v>
      </c>
      <c r="E11" s="42" t="s">
        <v>116</v>
      </c>
      <c r="F11" s="43">
        <v>60</v>
      </c>
    </row>
    <row r="12" spans="1:6" x14ac:dyDescent="0.3">
      <c r="A12" s="1">
        <v>10</v>
      </c>
      <c r="B12" s="41">
        <v>9245</v>
      </c>
      <c r="C12" s="41" t="s">
        <v>108</v>
      </c>
      <c r="D12" s="41" t="s">
        <v>106</v>
      </c>
      <c r="E12" s="42" t="s">
        <v>118</v>
      </c>
      <c r="F12" s="43">
        <v>100</v>
      </c>
    </row>
    <row r="13" spans="1:6" x14ac:dyDescent="0.3">
      <c r="A13" s="1">
        <v>11</v>
      </c>
      <c r="B13" s="41">
        <v>1718</v>
      </c>
      <c r="C13" s="41" t="s">
        <v>108</v>
      </c>
      <c r="D13" s="41" t="s">
        <v>106</v>
      </c>
      <c r="E13" s="42" t="s">
        <v>119</v>
      </c>
      <c r="F13" s="43">
        <v>60</v>
      </c>
    </row>
    <row r="14" spans="1:6" x14ac:dyDescent="0.3">
      <c r="A14" s="1">
        <v>12</v>
      </c>
      <c r="B14" s="41">
        <v>3685</v>
      </c>
      <c r="C14" s="41" t="s">
        <v>108</v>
      </c>
      <c r="D14" s="41" t="s">
        <v>106</v>
      </c>
      <c r="E14" s="42" t="s">
        <v>120</v>
      </c>
      <c r="F14" s="44">
        <v>60</v>
      </c>
    </row>
    <row r="15" spans="1:6" x14ac:dyDescent="0.3">
      <c r="A15" s="1">
        <v>13</v>
      </c>
      <c r="B15" s="41">
        <v>774</v>
      </c>
      <c r="C15" s="41" t="s">
        <v>108</v>
      </c>
      <c r="D15" s="41" t="s">
        <v>106</v>
      </c>
      <c r="E15" s="42" t="s">
        <v>121</v>
      </c>
      <c r="F15" s="43">
        <v>100</v>
      </c>
    </row>
    <row r="16" spans="1:6" x14ac:dyDescent="0.3">
      <c r="A16" s="1">
        <v>14</v>
      </c>
      <c r="B16" s="41">
        <v>1594</v>
      </c>
      <c r="C16" s="41" t="s">
        <v>108</v>
      </c>
      <c r="D16" s="41" t="s">
        <v>106</v>
      </c>
      <c r="E16" s="42" t="s">
        <v>122</v>
      </c>
      <c r="F16" s="43">
        <v>100</v>
      </c>
    </row>
    <row r="17" spans="1:8" x14ac:dyDescent="0.3">
      <c r="A17" s="1">
        <v>15</v>
      </c>
      <c r="B17" s="41">
        <v>7045</v>
      </c>
      <c r="C17" s="41" t="s">
        <v>108</v>
      </c>
      <c r="D17" s="41" t="s">
        <v>106</v>
      </c>
      <c r="E17" s="42" t="s">
        <v>123</v>
      </c>
      <c r="F17" s="43">
        <v>100</v>
      </c>
    </row>
    <row r="18" spans="1:8" x14ac:dyDescent="0.3">
      <c r="A18" s="1">
        <v>16</v>
      </c>
      <c r="B18" s="41">
        <v>7559</v>
      </c>
      <c r="C18" s="41" t="s">
        <v>108</v>
      </c>
      <c r="D18" s="41" t="s">
        <v>106</v>
      </c>
      <c r="E18" s="42" t="s">
        <v>124</v>
      </c>
      <c r="F18" s="43">
        <v>100</v>
      </c>
    </row>
    <row r="19" spans="1:8" x14ac:dyDescent="0.3">
      <c r="A19" s="1">
        <v>17</v>
      </c>
      <c r="B19" s="41">
        <v>7474</v>
      </c>
      <c r="C19" s="41" t="s">
        <v>108</v>
      </c>
      <c r="D19" s="41" t="s">
        <v>106</v>
      </c>
      <c r="E19" s="42" t="s">
        <v>125</v>
      </c>
      <c r="F19" s="43">
        <v>100</v>
      </c>
    </row>
    <row r="20" spans="1:8" x14ac:dyDescent="0.3">
      <c r="A20" s="1">
        <v>18</v>
      </c>
      <c r="B20" s="41">
        <v>2613</v>
      </c>
      <c r="C20" s="41" t="s">
        <v>108</v>
      </c>
      <c r="D20" s="41" t="s">
        <v>112</v>
      </c>
      <c r="E20" s="42" t="s">
        <v>126</v>
      </c>
      <c r="F20" s="43">
        <v>60</v>
      </c>
    </row>
    <row r="21" spans="1:8" x14ac:dyDescent="0.3">
      <c r="A21" s="1">
        <v>19</v>
      </c>
      <c r="B21" s="41">
        <v>3746</v>
      </c>
      <c r="C21" s="41" t="s">
        <v>108</v>
      </c>
      <c r="D21" s="41" t="s">
        <v>106</v>
      </c>
      <c r="E21" s="42" t="s">
        <v>127</v>
      </c>
      <c r="F21" s="43">
        <v>60</v>
      </c>
    </row>
    <row r="22" spans="1:8" x14ac:dyDescent="0.3">
      <c r="A22" s="1">
        <v>20</v>
      </c>
      <c r="B22" s="41">
        <v>3659</v>
      </c>
      <c r="C22" s="41" t="s">
        <v>108</v>
      </c>
      <c r="D22" s="41" t="s">
        <v>106</v>
      </c>
      <c r="E22" s="42" t="s">
        <v>128</v>
      </c>
      <c r="F22" s="43">
        <v>100</v>
      </c>
    </row>
    <row r="23" spans="1:8" x14ac:dyDescent="0.3">
      <c r="A23" s="1">
        <v>21</v>
      </c>
      <c r="B23" s="41">
        <v>9172</v>
      </c>
      <c r="C23" s="41" t="s">
        <v>108</v>
      </c>
      <c r="D23" s="41" t="s">
        <v>106</v>
      </c>
      <c r="E23" s="42" t="s">
        <v>129</v>
      </c>
      <c r="F23" s="43">
        <v>100</v>
      </c>
    </row>
    <row r="24" spans="1:8" x14ac:dyDescent="0.3">
      <c r="A24" s="1">
        <v>22</v>
      </c>
      <c r="B24" s="41">
        <v>3996</v>
      </c>
      <c r="C24" s="41" t="s">
        <v>108</v>
      </c>
      <c r="D24" s="41" t="s">
        <v>106</v>
      </c>
      <c r="E24" s="42" t="s">
        <v>134</v>
      </c>
      <c r="F24" s="43">
        <v>100</v>
      </c>
    </row>
    <row r="25" spans="1:8" ht="28.8" x14ac:dyDescent="0.3">
      <c r="A25" s="1">
        <v>23</v>
      </c>
      <c r="B25" s="45">
        <v>9922</v>
      </c>
      <c r="C25" s="45" t="s">
        <v>108</v>
      </c>
      <c r="D25" s="45" t="s">
        <v>106</v>
      </c>
      <c r="E25" s="46" t="s">
        <v>130</v>
      </c>
      <c r="F25" s="47">
        <v>20</v>
      </c>
    </row>
    <row r="26" spans="1:8" x14ac:dyDescent="0.3">
      <c r="A26" s="1">
        <v>24</v>
      </c>
      <c r="B26" s="41">
        <v>4041</v>
      </c>
      <c r="C26" s="41" t="s">
        <v>108</v>
      </c>
      <c r="D26" s="41" t="s">
        <v>106</v>
      </c>
      <c r="E26" s="42" t="s">
        <v>131</v>
      </c>
      <c r="F26" s="43">
        <v>60</v>
      </c>
    </row>
    <row r="27" spans="1:8" x14ac:dyDescent="0.3">
      <c r="A27" s="1">
        <v>25</v>
      </c>
      <c r="B27" s="41">
        <v>9461</v>
      </c>
      <c r="C27" s="41" t="s">
        <v>108</v>
      </c>
      <c r="D27" s="41" t="s">
        <v>106</v>
      </c>
      <c r="E27" s="42" t="s">
        <v>132</v>
      </c>
      <c r="F27" s="43">
        <v>100</v>
      </c>
    </row>
    <row r="28" spans="1:8" x14ac:dyDescent="0.3">
      <c r="A28" s="1">
        <v>26</v>
      </c>
      <c r="B28" s="41"/>
      <c r="C28" s="41" t="s">
        <v>108</v>
      </c>
      <c r="D28" s="41" t="s">
        <v>106</v>
      </c>
      <c r="E28" s="42" t="s">
        <v>133</v>
      </c>
      <c r="F28" s="43">
        <v>260</v>
      </c>
      <c r="G28" s="55" t="s">
        <v>135</v>
      </c>
      <c r="H28" s="55"/>
    </row>
    <row r="29" spans="1:8" x14ac:dyDescent="0.3">
      <c r="A29" s="1">
        <v>27</v>
      </c>
      <c r="B29" s="41"/>
      <c r="C29" s="41"/>
      <c r="D29" s="41"/>
      <c r="E29" s="42"/>
      <c r="F29" s="43"/>
    </row>
    <row r="30" spans="1:8" x14ac:dyDescent="0.3">
      <c r="A30" s="1">
        <v>28</v>
      </c>
      <c r="B30" s="41"/>
      <c r="C30" s="41"/>
      <c r="D30" s="41"/>
      <c r="E30" s="42"/>
      <c r="F30" s="43"/>
    </row>
    <row r="31" spans="1:8" x14ac:dyDescent="0.3">
      <c r="A31" s="1">
        <v>29</v>
      </c>
      <c r="B31" s="41"/>
      <c r="C31" s="41"/>
      <c r="D31" s="41"/>
      <c r="E31" s="42"/>
      <c r="F31" s="43"/>
    </row>
    <row r="32" spans="1:8" x14ac:dyDescent="0.3">
      <c r="A32" s="1">
        <v>30</v>
      </c>
      <c r="B32" s="41"/>
      <c r="C32" s="41"/>
      <c r="D32" s="41"/>
      <c r="E32" s="42"/>
      <c r="F32" s="43"/>
    </row>
    <row r="33" spans="1:6" x14ac:dyDescent="0.3">
      <c r="A33" s="1">
        <v>31</v>
      </c>
      <c r="B33" s="41"/>
      <c r="C33" s="41"/>
      <c r="D33" s="41"/>
      <c r="E33" s="42"/>
      <c r="F33" s="43"/>
    </row>
    <row r="34" spans="1:6" x14ac:dyDescent="0.3">
      <c r="A34" s="1">
        <v>32</v>
      </c>
      <c r="B34" s="41"/>
      <c r="C34" s="41"/>
      <c r="D34" s="41"/>
      <c r="E34" s="42"/>
      <c r="F34" s="43"/>
    </row>
    <row r="35" spans="1:6" x14ac:dyDescent="0.3">
      <c r="A35" s="1">
        <v>33</v>
      </c>
      <c r="B35" s="41"/>
      <c r="C35" s="41"/>
      <c r="D35" s="41"/>
      <c r="E35" s="42"/>
      <c r="F35" s="43"/>
    </row>
    <row r="36" spans="1:6" x14ac:dyDescent="0.3">
      <c r="A36" s="1">
        <v>34</v>
      </c>
      <c r="B36" s="41"/>
      <c r="C36" s="41"/>
      <c r="D36" s="41"/>
      <c r="E36" s="42"/>
      <c r="F36" s="43"/>
    </row>
    <row r="37" spans="1:6" x14ac:dyDescent="0.3">
      <c r="A37" s="1">
        <v>35</v>
      </c>
      <c r="B37" s="41"/>
      <c r="C37" s="41"/>
      <c r="D37" s="41"/>
      <c r="E37" s="42"/>
      <c r="F37" s="43"/>
    </row>
    <row r="38" spans="1:6" x14ac:dyDescent="0.3">
      <c r="A38" s="1">
        <v>36</v>
      </c>
      <c r="B38" s="41"/>
      <c r="C38" s="41"/>
      <c r="D38" s="41"/>
      <c r="E38" s="42"/>
      <c r="F38" s="43"/>
    </row>
    <row r="39" spans="1:6" x14ac:dyDescent="0.3">
      <c r="A39" s="1">
        <v>37</v>
      </c>
      <c r="B39" s="41"/>
      <c r="C39" s="41"/>
      <c r="D39" s="41"/>
      <c r="E39" s="42"/>
      <c r="F39" s="43"/>
    </row>
    <row r="40" spans="1:6" x14ac:dyDescent="0.3">
      <c r="A40" s="1">
        <v>38</v>
      </c>
      <c r="B40" s="41"/>
      <c r="C40" s="41"/>
      <c r="D40" s="41"/>
      <c r="E40" s="42"/>
      <c r="F40" s="43"/>
    </row>
    <row r="41" spans="1:6" x14ac:dyDescent="0.3">
      <c r="A41" s="1">
        <v>39</v>
      </c>
      <c r="B41" s="41"/>
      <c r="C41" s="41"/>
      <c r="D41" s="41"/>
      <c r="E41" s="42"/>
      <c r="F41" s="43"/>
    </row>
    <row r="42" spans="1:6" x14ac:dyDescent="0.3">
      <c r="A42" s="1">
        <v>40</v>
      </c>
      <c r="B42" s="41"/>
      <c r="C42" s="41"/>
      <c r="D42" s="41"/>
      <c r="E42" s="42"/>
      <c r="F42" s="43"/>
    </row>
    <row r="43" spans="1:6" x14ac:dyDescent="0.3">
      <c r="A43" s="1">
        <v>41</v>
      </c>
      <c r="B43" s="41"/>
      <c r="C43" s="41"/>
      <c r="D43" s="41"/>
      <c r="E43" s="42"/>
      <c r="F43" s="43"/>
    </row>
    <row r="44" spans="1:6" x14ac:dyDescent="0.3">
      <c r="A44" s="1">
        <v>42</v>
      </c>
      <c r="B44" s="41"/>
      <c r="C44" s="41"/>
      <c r="D44" s="41"/>
      <c r="E44" s="42"/>
      <c r="F44" s="43"/>
    </row>
    <row r="45" spans="1:6" x14ac:dyDescent="0.3">
      <c r="A45" s="1">
        <v>43</v>
      </c>
      <c r="B45" s="41"/>
      <c r="C45" s="41"/>
      <c r="D45" s="41"/>
      <c r="E45" s="42"/>
      <c r="F45" s="43"/>
    </row>
    <row r="46" spans="1:6" x14ac:dyDescent="0.3">
      <c r="A46" s="1">
        <v>44</v>
      </c>
      <c r="B46" s="41"/>
      <c r="C46" s="41"/>
      <c r="D46" s="41"/>
      <c r="E46" s="42"/>
      <c r="F46" s="43"/>
    </row>
    <row r="47" spans="1:6" x14ac:dyDescent="0.3">
      <c r="A47" s="1">
        <v>45</v>
      </c>
      <c r="B47" s="41"/>
      <c r="C47" s="41"/>
      <c r="D47" s="41"/>
      <c r="E47" s="42"/>
      <c r="F47" s="43"/>
    </row>
    <row r="48" spans="1:6" x14ac:dyDescent="0.3">
      <c r="A48" s="1">
        <v>46</v>
      </c>
      <c r="B48" s="41"/>
      <c r="C48" s="41"/>
      <c r="D48" s="41"/>
      <c r="E48" s="42"/>
      <c r="F48" s="43"/>
    </row>
    <row r="49" spans="1:6" x14ac:dyDescent="0.3">
      <c r="A49" s="1">
        <v>47</v>
      </c>
      <c r="B49" s="41"/>
      <c r="C49" s="41"/>
      <c r="D49" s="41"/>
      <c r="E49" s="42"/>
      <c r="F49" s="43"/>
    </row>
    <row r="50" spans="1:6" x14ac:dyDescent="0.3">
      <c r="A50" s="1">
        <v>48</v>
      </c>
      <c r="B50" s="41"/>
      <c r="C50" s="41"/>
      <c r="D50" s="41"/>
      <c r="E50" s="42"/>
      <c r="F50" s="43"/>
    </row>
    <row r="51" spans="1:6" x14ac:dyDescent="0.3">
      <c r="A51" s="1">
        <v>49</v>
      </c>
      <c r="B51" s="41"/>
      <c r="C51" s="41"/>
      <c r="D51" s="41"/>
      <c r="E51" s="42"/>
      <c r="F51" s="43"/>
    </row>
    <row r="52" spans="1:6" x14ac:dyDescent="0.3">
      <c r="A52" s="1">
        <v>50</v>
      </c>
      <c r="B52" s="41"/>
      <c r="C52" s="41"/>
      <c r="D52" s="41"/>
      <c r="E52" s="42"/>
      <c r="F52" s="43"/>
    </row>
  </sheetData>
  <mergeCells count="1">
    <mergeCell ref="B1:F1"/>
  </mergeCells>
  <phoneticPr fontId="7" type="noConversion"/>
  <conditionalFormatting sqref="B3:B52">
    <cfRule type="duplicateValues" dxfId="1" priority="2"/>
  </conditionalFormatting>
  <conditionalFormatting sqref="E3:E52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DD2B-8E9D-44F2-BDFD-87BF6E156B7A}">
  <dimension ref="A1:L29"/>
  <sheetViews>
    <sheetView workbookViewId="0">
      <selection activeCell="A2" sqref="A2:F29"/>
    </sheetView>
  </sheetViews>
  <sheetFormatPr baseColWidth="10" defaultRowHeight="14.4" x14ac:dyDescent="0.3"/>
  <cols>
    <col min="6" max="6" width="54" customWidth="1"/>
    <col min="12" max="12" width="30.77734375" customWidth="1"/>
  </cols>
  <sheetData>
    <row r="1" spans="1:12" ht="15" thickBot="1" x14ac:dyDescent="0.35">
      <c r="A1" s="68">
        <v>46025</v>
      </c>
      <c r="B1" s="69"/>
      <c r="C1" s="69"/>
      <c r="D1" s="69"/>
      <c r="E1" s="69"/>
      <c r="F1" s="70"/>
      <c r="G1" s="71">
        <v>46026</v>
      </c>
      <c r="H1" s="72"/>
      <c r="I1" s="72"/>
      <c r="J1" s="72"/>
      <c r="K1" s="72"/>
      <c r="L1" s="73"/>
    </row>
    <row r="2" spans="1:12" x14ac:dyDescent="0.3">
      <c r="A2" s="74"/>
      <c r="B2" s="75"/>
      <c r="C2" s="75"/>
      <c r="D2" s="75"/>
      <c r="E2" s="75"/>
      <c r="F2" s="76"/>
      <c r="G2" s="48"/>
      <c r="L2" s="49"/>
    </row>
    <row r="3" spans="1:12" x14ac:dyDescent="0.3">
      <c r="A3" s="77"/>
      <c r="B3" s="78"/>
      <c r="C3" s="78"/>
      <c r="D3" s="78"/>
      <c r="E3" s="78"/>
      <c r="F3" s="79"/>
      <c r="G3" s="48"/>
      <c r="L3" s="49"/>
    </row>
    <row r="4" spans="1:12" x14ac:dyDescent="0.3">
      <c r="A4" s="77"/>
      <c r="B4" s="78"/>
      <c r="C4" s="78"/>
      <c r="D4" s="78"/>
      <c r="E4" s="78"/>
      <c r="F4" s="79"/>
      <c r="G4" s="48"/>
      <c r="L4" s="49"/>
    </row>
    <row r="5" spans="1:12" x14ac:dyDescent="0.3">
      <c r="A5" s="77"/>
      <c r="B5" s="78"/>
      <c r="C5" s="78"/>
      <c r="D5" s="78"/>
      <c r="E5" s="78"/>
      <c r="F5" s="79"/>
      <c r="G5" s="48"/>
      <c r="L5" s="49"/>
    </row>
    <row r="6" spans="1:12" x14ac:dyDescent="0.3">
      <c r="A6" s="77"/>
      <c r="B6" s="78"/>
      <c r="C6" s="78"/>
      <c r="D6" s="78"/>
      <c r="E6" s="78"/>
      <c r="F6" s="79"/>
      <c r="G6" s="48"/>
      <c r="L6" s="49"/>
    </row>
    <row r="7" spans="1:12" x14ac:dyDescent="0.3">
      <c r="A7" s="77"/>
      <c r="B7" s="78"/>
      <c r="C7" s="78"/>
      <c r="D7" s="78"/>
      <c r="E7" s="78"/>
      <c r="F7" s="79"/>
      <c r="G7" s="48"/>
      <c r="L7" s="49"/>
    </row>
    <row r="8" spans="1:12" x14ac:dyDescent="0.3">
      <c r="A8" s="77"/>
      <c r="B8" s="78"/>
      <c r="C8" s="78"/>
      <c r="D8" s="78"/>
      <c r="E8" s="78"/>
      <c r="F8" s="79"/>
      <c r="G8" s="48"/>
      <c r="L8" s="49"/>
    </row>
    <row r="9" spans="1:12" x14ac:dyDescent="0.3">
      <c r="A9" s="77"/>
      <c r="B9" s="78"/>
      <c r="C9" s="78"/>
      <c r="D9" s="78"/>
      <c r="E9" s="78"/>
      <c r="F9" s="79"/>
      <c r="G9" s="48"/>
      <c r="L9" s="49"/>
    </row>
    <row r="10" spans="1:12" x14ac:dyDescent="0.3">
      <c r="A10" s="77"/>
      <c r="B10" s="78"/>
      <c r="C10" s="78"/>
      <c r="D10" s="78"/>
      <c r="E10" s="78"/>
      <c r="F10" s="79"/>
      <c r="G10" s="48"/>
      <c r="L10" s="49"/>
    </row>
    <row r="11" spans="1:12" x14ac:dyDescent="0.3">
      <c r="A11" s="77"/>
      <c r="B11" s="78"/>
      <c r="C11" s="78"/>
      <c r="D11" s="78"/>
      <c r="E11" s="78"/>
      <c r="F11" s="79"/>
      <c r="L11" s="49"/>
    </row>
    <row r="12" spans="1:12" x14ac:dyDescent="0.3">
      <c r="A12" s="77"/>
      <c r="B12" s="78"/>
      <c r="C12" s="78"/>
      <c r="D12" s="78"/>
      <c r="E12" s="78"/>
      <c r="F12" s="79"/>
      <c r="L12" s="49"/>
    </row>
    <row r="13" spans="1:12" x14ac:dyDescent="0.3">
      <c r="A13" s="77"/>
      <c r="B13" s="78"/>
      <c r="C13" s="78"/>
      <c r="D13" s="78"/>
      <c r="E13" s="78"/>
      <c r="F13" s="79"/>
      <c r="G13" s="48"/>
      <c r="L13" s="49"/>
    </row>
    <row r="14" spans="1:12" x14ac:dyDescent="0.3">
      <c r="A14" s="77"/>
      <c r="B14" s="78"/>
      <c r="C14" s="78"/>
      <c r="D14" s="78"/>
      <c r="E14" s="78"/>
      <c r="F14" s="79"/>
      <c r="G14" s="48"/>
      <c r="L14" s="49"/>
    </row>
    <row r="15" spans="1:12" x14ac:dyDescent="0.3">
      <c r="A15" s="77"/>
      <c r="B15" s="78"/>
      <c r="C15" s="78"/>
      <c r="D15" s="78"/>
      <c r="E15" s="78"/>
      <c r="F15" s="79"/>
      <c r="G15" s="48"/>
      <c r="L15" s="49"/>
    </row>
    <row r="16" spans="1:12" x14ac:dyDescent="0.3">
      <c r="A16" s="77"/>
      <c r="B16" s="78"/>
      <c r="C16" s="78"/>
      <c r="D16" s="78"/>
      <c r="E16" s="78"/>
      <c r="F16" s="79"/>
      <c r="L16" s="49"/>
    </row>
    <row r="17" spans="1:12" x14ac:dyDescent="0.3">
      <c r="A17" s="77"/>
      <c r="B17" s="78"/>
      <c r="C17" s="78"/>
      <c r="D17" s="78"/>
      <c r="E17" s="78"/>
      <c r="F17" s="79"/>
      <c r="G17" s="48"/>
      <c r="L17" s="49"/>
    </row>
    <row r="18" spans="1:12" x14ac:dyDescent="0.3">
      <c r="A18" s="77"/>
      <c r="B18" s="78"/>
      <c r="C18" s="78"/>
      <c r="D18" s="78"/>
      <c r="E18" s="78"/>
      <c r="F18" s="79"/>
      <c r="G18" s="48"/>
      <c r="L18" s="49"/>
    </row>
    <row r="19" spans="1:12" x14ac:dyDescent="0.3">
      <c r="A19" s="77"/>
      <c r="B19" s="78"/>
      <c r="C19" s="78"/>
      <c r="D19" s="78"/>
      <c r="E19" s="78"/>
      <c r="F19" s="79"/>
      <c r="G19" s="48"/>
      <c r="L19" s="49"/>
    </row>
    <row r="20" spans="1:12" x14ac:dyDescent="0.3">
      <c r="A20" s="77"/>
      <c r="B20" s="78"/>
      <c r="C20" s="78"/>
      <c r="D20" s="78"/>
      <c r="E20" s="78"/>
      <c r="F20" s="79"/>
      <c r="G20" s="48"/>
      <c r="L20" s="49"/>
    </row>
    <row r="21" spans="1:12" x14ac:dyDescent="0.3">
      <c r="A21" s="77"/>
      <c r="B21" s="78"/>
      <c r="C21" s="78"/>
      <c r="D21" s="78"/>
      <c r="E21" s="78"/>
      <c r="F21" s="79"/>
      <c r="G21" s="48"/>
      <c r="L21" s="49"/>
    </row>
    <row r="22" spans="1:12" x14ac:dyDescent="0.3">
      <c r="A22" s="77"/>
      <c r="B22" s="78"/>
      <c r="C22" s="78"/>
      <c r="D22" s="78"/>
      <c r="E22" s="78"/>
      <c r="F22" s="79"/>
      <c r="G22" s="48"/>
      <c r="L22" s="49"/>
    </row>
    <row r="23" spans="1:12" x14ac:dyDescent="0.3">
      <c r="A23" s="77"/>
      <c r="B23" s="78"/>
      <c r="C23" s="78"/>
      <c r="D23" s="78"/>
      <c r="E23" s="78"/>
      <c r="F23" s="79"/>
      <c r="G23" s="48"/>
      <c r="L23" s="49"/>
    </row>
    <row r="24" spans="1:12" x14ac:dyDescent="0.3">
      <c r="A24" s="77"/>
      <c r="B24" s="78"/>
      <c r="C24" s="78"/>
      <c r="D24" s="78"/>
      <c r="E24" s="78"/>
      <c r="F24" s="79"/>
      <c r="G24" s="48"/>
      <c r="L24" s="49"/>
    </row>
    <row r="25" spans="1:12" x14ac:dyDescent="0.3">
      <c r="A25" s="77"/>
      <c r="B25" s="78"/>
      <c r="C25" s="78"/>
      <c r="D25" s="78"/>
      <c r="E25" s="78"/>
      <c r="F25" s="79"/>
      <c r="G25" s="48"/>
      <c r="L25" s="49"/>
    </row>
    <row r="26" spans="1:12" x14ac:dyDescent="0.3">
      <c r="A26" s="77"/>
      <c r="B26" s="78"/>
      <c r="C26" s="78"/>
      <c r="D26" s="78"/>
      <c r="E26" s="78"/>
      <c r="F26" s="79"/>
      <c r="G26" s="48"/>
      <c r="L26" s="49"/>
    </row>
    <row r="27" spans="1:12" x14ac:dyDescent="0.3">
      <c r="A27" s="77"/>
      <c r="B27" s="78"/>
      <c r="C27" s="78"/>
      <c r="D27" s="78"/>
      <c r="E27" s="78"/>
      <c r="F27" s="79"/>
      <c r="G27" s="48"/>
      <c r="L27" s="49"/>
    </row>
    <row r="28" spans="1:12" x14ac:dyDescent="0.3">
      <c r="A28" s="77"/>
      <c r="B28" s="78"/>
      <c r="C28" s="78"/>
      <c r="D28" s="78"/>
      <c r="E28" s="78"/>
      <c r="F28" s="79"/>
      <c r="G28" s="48"/>
      <c r="L28" s="49"/>
    </row>
    <row r="29" spans="1:12" ht="15" thickBot="1" x14ac:dyDescent="0.35">
      <c r="A29" s="80"/>
      <c r="B29" s="81"/>
      <c r="C29" s="81"/>
      <c r="D29" s="81"/>
      <c r="E29" s="81"/>
      <c r="F29" s="82"/>
      <c r="G29" s="50"/>
      <c r="H29" s="51"/>
      <c r="I29" s="51"/>
      <c r="J29" s="51"/>
      <c r="K29" s="51"/>
      <c r="L29" s="52"/>
    </row>
  </sheetData>
  <mergeCells count="3">
    <mergeCell ref="A1:F1"/>
    <mergeCell ref="G1:L1"/>
    <mergeCell ref="A2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DETALLE</vt:lpstr>
      <vt:lpstr>RESUMEN GENERAL</vt:lpstr>
      <vt:lpstr>DEPOSITO A DIRECTO</vt:lpstr>
      <vt:lpstr>CIERRE DE VISA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AGURTO</dc:creator>
  <cp:lastModifiedBy>FRANK NIETO</cp:lastModifiedBy>
  <cp:lastPrinted>2022-12-27T18:31:05Z</cp:lastPrinted>
  <dcterms:created xsi:type="dcterms:W3CDTF">2022-12-27T16:34:09Z</dcterms:created>
  <dcterms:modified xsi:type="dcterms:W3CDTF">2026-01-13T19:18:55Z</dcterms:modified>
</cp:coreProperties>
</file>