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A285744-F9BF-4E22-BD8C-E9E2797F5119}" xr6:coauthVersionLast="47" xr6:coauthVersionMax="47" xr10:uidLastSave="{00000000-0000-0000-0000-000000000000}"/>
  <bookViews>
    <workbookView xWindow="-108" yWindow="-108" windowWidth="23256" windowHeight="12456" activeTab="1" xr2:uid="{75C38EDD-D69F-4917-8ADE-8CB0E8289B87}"/>
  </bookViews>
  <sheets>
    <sheet name="DETALLE" sheetId="4" r:id="rId1"/>
    <sheet name="RESUMEN GENERAL" sheetId="3" r:id="rId2"/>
    <sheet name="DEPOSITO A DIRECTO" sheetId="5" r:id="rId3"/>
    <sheet name="CIERRE DE VISA" sheetId="6" r:id="rId4"/>
  </sheets>
  <definedNames>
    <definedName name="_xlnm._FilterDatabase" localSheetId="0" hidden="1">DETALLE!$B$4:$F$124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5" l="1"/>
  <c r="F29" i="3" s="1"/>
  <c r="C42" i="3" l="1"/>
  <c r="F9" i="3" l="1"/>
  <c r="F8" i="3" l="1"/>
  <c r="I8" i="3" s="1"/>
  <c r="F126" i="4" l="1"/>
  <c r="I7" i="3" s="1"/>
  <c r="I9" i="3" s="1"/>
  <c r="L8" i="3" s="1"/>
  <c r="L9" i="3" s="1"/>
  <c r="F11" i="3" s="1"/>
  <c r="I22" i="3" l="1"/>
  <c r="I23" i="3" s="1"/>
  <c r="I16" i="3"/>
  <c r="I19" i="3"/>
  <c r="I20" i="3" s="1"/>
  <c r="I21" i="3" s="1"/>
  <c r="F16" i="3"/>
  <c r="F18" i="3" s="1"/>
  <c r="I17" i="3" l="1"/>
  <c r="L16" i="3" s="1"/>
  <c r="L17" i="3" s="1"/>
  <c r="F24" i="3" s="1"/>
  <c r="F17" i="3"/>
  <c r="F27" i="3" l="1"/>
</calcChain>
</file>

<file path=xl/sharedStrings.xml><?xml version="1.0" encoding="utf-8"?>
<sst xmlns="http://schemas.openxmlformats.org/spreadsheetml/2006/main" count="196" uniqueCount="169">
  <si>
    <t>Fecha:</t>
  </si>
  <si>
    <t>#Móvil</t>
  </si>
  <si>
    <t>Relación de Asistencia con Cuota</t>
  </si>
  <si>
    <t>S/ Cuota</t>
  </si>
  <si>
    <t>Monto S/ Cuota Pagada</t>
  </si>
  <si>
    <t>Monto S/ Cuota Neteada</t>
  </si>
  <si>
    <t>Monto Voucher</t>
  </si>
  <si>
    <t>Monto Ventas POS</t>
  </si>
  <si>
    <t>Monto Neteado con Cuota</t>
  </si>
  <si>
    <t>Monto pagado a conductor</t>
  </si>
  <si>
    <t>Monto Caja Chica liquidación</t>
  </si>
  <si>
    <t>Monto a reembolsar a empresa</t>
  </si>
  <si>
    <t>CUADRES DE LIQUIDACIÓN SERVICIOS CONDUCTOR DE REEMPLAZO</t>
  </si>
  <si>
    <t>Monto pagar a Conductor</t>
  </si>
  <si>
    <t>30% Dscto por Comisión</t>
  </si>
  <si>
    <t>Monto Ventas Efectivo</t>
  </si>
  <si>
    <t>Monto ingreso Directo</t>
  </si>
  <si>
    <t>Monto Total Servicio CDR</t>
  </si>
  <si>
    <t>Monto Neteado comisión</t>
  </si>
  <si>
    <t>Cuadre</t>
  </si>
  <si>
    <t>CUADRES DE LIQUIDACIÓN SERVICIOS REGULARES TAXI</t>
  </si>
  <si>
    <t>Monto entregado en efectivo por CDR</t>
  </si>
  <si>
    <t>Monto a abonar a cuenta</t>
  </si>
  <si>
    <t>Total Voucher a depositar en cuenta Directo</t>
  </si>
  <si>
    <t>REPORTE GLOBAL FIN DE SEMANA BOULEVARD</t>
  </si>
  <si>
    <r>
      <t xml:space="preserve">En este detalle se colocaran todos los servicios realizados con POS, teniendo detalle obligatorio: </t>
    </r>
    <r>
      <rPr>
        <b/>
        <sz val="11"/>
        <color rgb="FFFF0000"/>
        <rFont val="Calibri"/>
        <family val="2"/>
        <scheme val="minor"/>
      </rPr>
      <t>#MÓVIL-#COD SERV-#VOUCHER POS-MONTO S/</t>
    </r>
  </si>
  <si>
    <t>Móvil</t>
  </si>
  <si>
    <t>Monto</t>
  </si>
  <si>
    <t>TOTAL</t>
  </si>
  <si>
    <t xml:space="preserve"> </t>
  </si>
  <si>
    <t># Voucher</t>
  </si>
  <si>
    <t># Servicio</t>
  </si>
  <si>
    <t>Fecha</t>
  </si>
  <si>
    <t>N°</t>
  </si>
  <si>
    <t>Conductor</t>
  </si>
  <si>
    <t>Medio de pago</t>
  </si>
  <si>
    <t>Banco</t>
  </si>
  <si>
    <t>N° Operación</t>
  </si>
  <si>
    <t>BCP</t>
  </si>
  <si>
    <t>TRANSFERENCIA</t>
  </si>
  <si>
    <t>BBVA</t>
  </si>
  <si>
    <t>005257</t>
  </si>
  <si>
    <t>005194</t>
  </si>
  <si>
    <t>007532</t>
  </si>
  <si>
    <t>006120</t>
  </si>
  <si>
    <t>000497</t>
  </si>
  <si>
    <t>001146</t>
  </si>
  <si>
    <t>100978</t>
  </si>
  <si>
    <t>001430</t>
  </si>
  <si>
    <t>549948</t>
  </si>
  <si>
    <t>004034</t>
  </si>
  <si>
    <t>005814</t>
  </si>
  <si>
    <t>084760</t>
  </si>
  <si>
    <t>007066</t>
  </si>
  <si>
    <t>005694</t>
  </si>
  <si>
    <t>430906</t>
  </si>
  <si>
    <t>402038</t>
  </si>
  <si>
    <t>398255</t>
  </si>
  <si>
    <t>005112</t>
  </si>
  <si>
    <t>005113</t>
  </si>
  <si>
    <t>008564</t>
  </si>
  <si>
    <t>165680</t>
  </si>
  <si>
    <t>295445</t>
  </si>
  <si>
    <t>582950</t>
  </si>
  <si>
    <t>388619</t>
  </si>
  <si>
    <t>866768</t>
  </si>
  <si>
    <t>000309</t>
  </si>
  <si>
    <t>006426</t>
  </si>
  <si>
    <t>066661</t>
  </si>
  <si>
    <t>572108</t>
  </si>
  <si>
    <t>09083D</t>
  </si>
  <si>
    <t>000622</t>
  </si>
  <si>
    <t>155842</t>
  </si>
  <si>
    <t>030924</t>
  </si>
  <si>
    <t>004038</t>
  </si>
  <si>
    <t>5455304</t>
  </si>
  <si>
    <t>008097</t>
  </si>
  <si>
    <t>000315</t>
  </si>
  <si>
    <t>002463</t>
  </si>
  <si>
    <t>005572</t>
  </si>
  <si>
    <t>368005</t>
  </si>
  <si>
    <t>818518</t>
  </si>
  <si>
    <t>009003</t>
  </si>
  <si>
    <t>004828</t>
  </si>
  <si>
    <t>002486</t>
  </si>
  <si>
    <t>009320</t>
  </si>
  <si>
    <t>380365</t>
  </si>
  <si>
    <t>008111</t>
  </si>
  <si>
    <t>005665</t>
  </si>
  <si>
    <t>594969</t>
  </si>
  <si>
    <t>340163</t>
  </si>
  <si>
    <t>003150</t>
  </si>
  <si>
    <t>006206</t>
  </si>
  <si>
    <t>610361</t>
  </si>
  <si>
    <t>814968</t>
  </si>
  <si>
    <t>156860</t>
  </si>
  <si>
    <t>004903</t>
  </si>
  <si>
    <t>183463</t>
  </si>
  <si>
    <t>006823</t>
  </si>
  <si>
    <t>YBVXWU</t>
  </si>
  <si>
    <t>004245</t>
  </si>
  <si>
    <t>003109</t>
  </si>
  <si>
    <t>000680</t>
  </si>
  <si>
    <t>R02271</t>
  </si>
  <si>
    <t>545859</t>
  </si>
  <si>
    <t>007531</t>
  </si>
  <si>
    <t>469778</t>
  </si>
  <si>
    <t>009214</t>
  </si>
  <si>
    <t>001687</t>
  </si>
  <si>
    <t>551047</t>
  </si>
  <si>
    <t>003170</t>
  </si>
  <si>
    <t>005370</t>
  </si>
  <si>
    <t>006841</t>
  </si>
  <si>
    <t>401248</t>
  </si>
  <si>
    <t>009877</t>
  </si>
  <si>
    <t>000553</t>
  </si>
  <si>
    <t>006613</t>
  </si>
  <si>
    <t>002142</t>
  </si>
  <si>
    <t>002391</t>
  </si>
  <si>
    <t>09987D</t>
  </si>
  <si>
    <t>05382D</t>
  </si>
  <si>
    <t>006165</t>
  </si>
  <si>
    <t>03806D</t>
  </si>
  <si>
    <t>000997</t>
  </si>
  <si>
    <t>04605D</t>
  </si>
  <si>
    <t>586572</t>
  </si>
  <si>
    <t>009850</t>
  </si>
  <si>
    <t>459746</t>
  </si>
  <si>
    <t>66BDIW</t>
  </si>
  <si>
    <t>365886</t>
  </si>
  <si>
    <t>554443</t>
  </si>
  <si>
    <t>996857</t>
  </si>
  <si>
    <t>005891</t>
  </si>
  <si>
    <t>007971</t>
  </si>
  <si>
    <t>886786</t>
  </si>
  <si>
    <t>263948</t>
  </si>
  <si>
    <t>802298</t>
  </si>
  <si>
    <t>002394</t>
  </si>
  <si>
    <t>003654</t>
  </si>
  <si>
    <t>CDKF2E</t>
  </si>
  <si>
    <t>01096D</t>
  </si>
  <si>
    <t>591869</t>
  </si>
  <si>
    <t>002530</t>
  </si>
  <si>
    <t>002050</t>
  </si>
  <si>
    <t>903489</t>
  </si>
  <si>
    <t>005336</t>
  </si>
  <si>
    <t>001738</t>
  </si>
  <si>
    <t>001280</t>
  </si>
  <si>
    <t>826546</t>
  </si>
  <si>
    <t>001360</t>
  </si>
  <si>
    <t>005678</t>
  </si>
  <si>
    <t>902423</t>
  </si>
  <si>
    <t>931930</t>
  </si>
  <si>
    <t>005608</t>
  </si>
  <si>
    <t>004446</t>
  </si>
  <si>
    <t>534761</t>
  </si>
  <si>
    <t>011968</t>
  </si>
  <si>
    <t>00670231</t>
  </si>
  <si>
    <t>01667491</t>
  </si>
  <si>
    <t>01470371</t>
  </si>
  <si>
    <t>01558540</t>
  </si>
  <si>
    <t>03374166</t>
  </si>
  <si>
    <t>00002465</t>
  </si>
  <si>
    <t>9 Y 10 ENERO</t>
  </si>
  <si>
    <t>PREMIUN</t>
  </si>
  <si>
    <t>Falta depositar</t>
  </si>
  <si>
    <t>03777543</t>
  </si>
  <si>
    <t>REPOSICION DE CAJA CHICA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</si>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</sst>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16" fontId="1" fillId="4" borderId="0" xfId="0" applyNumberFormat="1" applyFont="1" applyFill="1" applyAlignment="1">
      <alignment horizontal="center"/>
    </xf>
    <xf numFmtId="164" fontId="0" fillId="5" borderId="1" xfId="0" applyNumberFormat="1" applyFill="1" applyBorder="1"/>
    <xf numFmtId="164" fontId="1" fillId="5" borderId="0" xfId="0" applyNumberFormat="1" applyFont="1" applyFill="1" applyAlignment="1">
      <alignment horizontal="center"/>
    </xf>
    <xf numFmtId="164" fontId="0" fillId="5" borderId="0" xfId="0" applyNumberFormat="1" applyFill="1"/>
    <xf numFmtId="0" fontId="1" fillId="0" borderId="0" xfId="0" applyFont="1"/>
    <xf numFmtId="164" fontId="1" fillId="5" borderId="0" xfId="0" applyNumberFormat="1" applyFont="1" applyFill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/>
    </xf>
    <xf numFmtId="0" fontId="5" fillId="6" borderId="0" xfId="0" applyFont="1" applyFill="1"/>
    <xf numFmtId="164" fontId="5" fillId="6" borderId="0" xfId="0" applyNumberFormat="1" applyFont="1" applyFill="1"/>
    <xf numFmtId="164" fontId="0" fillId="2" borderId="0" xfId="0" applyNumberFormat="1" applyFill="1"/>
    <xf numFmtId="164" fontId="1" fillId="11" borderId="0" xfId="0" applyNumberFormat="1" applyFont="1" applyFill="1"/>
    <xf numFmtId="0" fontId="4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44" fontId="1" fillId="12" borderId="12" xfId="0" applyNumberFormat="1" applyFont="1" applyFill="1" applyBorder="1"/>
    <xf numFmtId="14" fontId="0" fillId="13" borderId="13" xfId="0" applyNumberForma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49" fontId="0" fillId="13" borderId="9" xfId="0" applyNumberFormat="1" applyFill="1" applyBorder="1" applyAlignment="1">
      <alignment horizontal="center"/>
    </xf>
    <xf numFmtId="44" fontId="0" fillId="13" borderId="14" xfId="0" applyNumberFormat="1" applyFill="1" applyBorder="1"/>
    <xf numFmtId="49" fontId="0" fillId="13" borderId="8" xfId="0" applyNumberFormat="1" applyFill="1" applyBorder="1" applyAlignment="1">
      <alignment horizontal="center"/>
    </xf>
    <xf numFmtId="44" fontId="0" fillId="13" borderId="15" xfId="0" applyNumberFormat="1" applyFill="1" applyBorder="1"/>
    <xf numFmtId="0" fontId="0" fillId="13" borderId="8" xfId="0" applyFill="1" applyBorder="1" applyAlignment="1">
      <alignment horizontal="center"/>
    </xf>
    <xf numFmtId="0" fontId="4" fillId="10" borderId="1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13" borderId="20" xfId="0" applyNumberFormat="1" applyFill="1" applyBorder="1" applyAlignment="1">
      <alignment horizontal="center"/>
    </xf>
    <xf numFmtId="0" fontId="0" fillId="2" borderId="0" xfId="0" applyFill="1"/>
    <xf numFmtId="16" fontId="0" fillId="13" borderId="15" xfId="0" applyNumberFormat="1" applyFill="1" applyBorder="1"/>
    <xf numFmtId="0" fontId="9" fillId="1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11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7" borderId="23" xfId="0" applyFont="1" applyFill="1" applyBorder="1" applyAlignment="1">
      <alignment wrapText="1"/>
    </xf>
    <xf numFmtId="164" fontId="1" fillId="8" borderId="2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2" fontId="0" fillId="0" borderId="0" xfId="0" applyNumberFormat="1"/>
    <xf numFmtId="164" fontId="3" fillId="0" borderId="0" xfId="0" applyNumberFormat="1" applyFont="1"/>
    <xf numFmtId="0" fontId="1" fillId="12" borderId="1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65" fontId="8" fillId="10" borderId="8" xfId="0" applyNumberFormat="1" applyFont="1" applyFill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14" fontId="1" fillId="15" borderId="3" xfId="0" applyNumberFormat="1" applyFont="1" applyFill="1" applyBorder="1" applyAlignment="1">
      <alignment horizontal="center"/>
    </xf>
    <xf numFmtId="14" fontId="1" fillId="15" borderId="4" xfId="0" applyNumberFormat="1" applyFont="1" applyFill="1" applyBorder="1" applyAlignment="1">
      <alignment horizontal="center"/>
    </xf>
    <xf numFmtId="14" fontId="1" fillId="15" borderId="16" xfId="0" applyNumberFormat="1" applyFont="1" applyFill="1" applyBorder="1" applyAlignment="1">
      <alignment horizontal="center"/>
    </xf>
    <xf numFmtId="14" fontId="1" fillId="15" borderId="17" xfId="0" applyNumberFormat="1" applyFont="1" applyFill="1" applyBorder="1" applyAlignment="1">
      <alignment horizontal="center"/>
    </xf>
    <xf numFmtId="14" fontId="1" fillId="15" borderId="19" xfId="0" applyNumberFormat="1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</cellXfs>
  <cellStyles count="1">
    <cellStyle name="Normal" xfId="0" builtinId="0"/>
  </cellStyles>
  <dxfs count="10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480060</xdr:colOff>
      <xdr:row>1</xdr:row>
      <xdr:rowOff>7620</xdr:rowOff>
    </xdr:from>
    <xdr:to>
      <xdr:col>5</xdr:col>
      <xdr:colOff>2175510</xdr:colOff>
      <xdr:row>28</xdr:row>
      <xdr:rowOff>5128260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ADAA03-35AE-E6AC-65A3-338A3D3B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9812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0</xdr:row>
      <xdr:rowOff>182880</xdr:rowOff>
    </xdr:from>
    <xdr:to>
      <xdr:col>11</xdr:col>
      <xdr:colOff>1760220</xdr:colOff>
      <xdr:row>28</xdr:row>
      <xdr:rowOff>5113020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FEFD25-0B20-6730-3D61-6ED89F267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180" y="182880"/>
          <a:ext cx="547116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0546-E0A7-456A-A674-AD9E19479F14}">
  <dimension ref="A2:G126"/>
  <sheetViews>
    <sheetView showGridLines="0" topLeftCell="A111" workbookViewId="0">
      <selection activeCell="A121" sqref="A121:XFD121"/>
    </sheetView>
  </sheetViews>
  <sheetFormatPr baseColWidth="10" defaultRowHeight="14.4" x14ac:dyDescent="0.3"/>
  <cols>
    <col min="3" max="3" width="11.44140625" style="1"/>
    <col min="4" max="4" width="13.88671875" style="1" customWidth="1"/>
    <col min="5" max="5" width="18.44140625" style="1" customWidth="1"/>
    <col min="6" max="6" width="14" customWidth="1"/>
    <col min="7" max="7" width="118.109375" bestFit="1" customWidth="1"/>
  </cols>
  <sheetData>
    <row r="2" spans="1:6" x14ac:dyDescent="0.3">
      <c r="A2" t="s">
        <v>25</v>
      </c>
      <c r="C2"/>
      <c r="D2"/>
    </row>
    <row r="3" spans="1:6" ht="15" thickBot="1" x14ac:dyDescent="0.35"/>
    <row r="4" spans="1:6" ht="15" thickBot="1" x14ac:dyDescent="0.35">
      <c r="B4" s="23" t="s">
        <v>32</v>
      </c>
      <c r="C4" s="24" t="s">
        <v>26</v>
      </c>
      <c r="D4" s="34" t="s">
        <v>31</v>
      </c>
      <c r="E4" s="24" t="s">
        <v>30</v>
      </c>
      <c r="F4" s="25" t="s">
        <v>27</v>
      </c>
    </row>
    <row r="5" spans="1:6" x14ac:dyDescent="0.3">
      <c r="B5" s="27">
        <v>46032</v>
      </c>
      <c r="C5" s="28">
        <v>4027</v>
      </c>
      <c r="D5" s="33">
        <v>5456136</v>
      </c>
      <c r="E5" s="29" t="s">
        <v>41</v>
      </c>
      <c r="F5" s="30">
        <v>40</v>
      </c>
    </row>
    <row r="6" spans="1:6" x14ac:dyDescent="0.3">
      <c r="B6" s="27">
        <v>46032</v>
      </c>
      <c r="C6" s="28">
        <v>4027</v>
      </c>
      <c r="D6" s="33">
        <v>5456051</v>
      </c>
      <c r="E6" s="29" t="s">
        <v>42</v>
      </c>
      <c r="F6" s="30">
        <v>85</v>
      </c>
    </row>
    <row r="7" spans="1:6" x14ac:dyDescent="0.3">
      <c r="B7" s="27">
        <v>46032</v>
      </c>
      <c r="C7" s="28">
        <v>4027</v>
      </c>
      <c r="D7" s="33">
        <v>5455363</v>
      </c>
      <c r="E7" s="29" t="s">
        <v>43</v>
      </c>
      <c r="F7" s="30">
        <v>175</v>
      </c>
    </row>
    <row r="8" spans="1:6" x14ac:dyDescent="0.3">
      <c r="B8" s="27">
        <v>46032</v>
      </c>
      <c r="C8" s="28">
        <v>4027</v>
      </c>
      <c r="D8" s="33">
        <v>5455329</v>
      </c>
      <c r="E8" s="31" t="s">
        <v>44</v>
      </c>
      <c r="F8" s="32">
        <v>45</v>
      </c>
    </row>
    <row r="9" spans="1:6" x14ac:dyDescent="0.3">
      <c r="B9" s="27">
        <v>46032</v>
      </c>
      <c r="C9" s="28">
        <v>4027</v>
      </c>
      <c r="D9" s="33">
        <v>5454592</v>
      </c>
      <c r="E9" s="31" t="s">
        <v>45</v>
      </c>
      <c r="F9" s="38">
        <v>55</v>
      </c>
    </row>
    <row r="10" spans="1:6" x14ac:dyDescent="0.3">
      <c r="B10" s="27">
        <v>46032</v>
      </c>
      <c r="C10" s="28">
        <v>4087</v>
      </c>
      <c r="D10" s="33">
        <v>5455279</v>
      </c>
      <c r="E10" s="31" t="s">
        <v>46</v>
      </c>
      <c r="F10" s="32">
        <v>50</v>
      </c>
    </row>
    <row r="11" spans="1:6" x14ac:dyDescent="0.3">
      <c r="B11" s="27">
        <v>46032</v>
      </c>
      <c r="C11" s="28">
        <v>3685</v>
      </c>
      <c r="D11" s="33">
        <v>5455435</v>
      </c>
      <c r="E11" s="31" t="s">
        <v>47</v>
      </c>
      <c r="F11" s="32">
        <v>40</v>
      </c>
    </row>
    <row r="12" spans="1:6" x14ac:dyDescent="0.3">
      <c r="B12" s="27">
        <v>46032</v>
      </c>
      <c r="C12" s="28">
        <v>2849</v>
      </c>
      <c r="D12" s="33">
        <v>5455328</v>
      </c>
      <c r="E12" s="31" t="s">
        <v>48</v>
      </c>
      <c r="F12" s="32">
        <v>45</v>
      </c>
    </row>
    <row r="13" spans="1:6" x14ac:dyDescent="0.3">
      <c r="B13" s="27">
        <v>46032</v>
      </c>
      <c r="C13" s="28">
        <v>2849</v>
      </c>
      <c r="D13" s="33">
        <v>5455282</v>
      </c>
      <c r="E13" s="31" t="s">
        <v>49</v>
      </c>
      <c r="F13" s="32">
        <v>40</v>
      </c>
    </row>
    <row r="14" spans="1:6" x14ac:dyDescent="0.3">
      <c r="B14" s="27">
        <v>46032</v>
      </c>
      <c r="C14" s="28">
        <v>2849</v>
      </c>
      <c r="D14" s="33">
        <v>5456392</v>
      </c>
      <c r="E14" s="31" t="s">
        <v>50</v>
      </c>
      <c r="F14" s="32">
        <v>45</v>
      </c>
    </row>
    <row r="15" spans="1:6" x14ac:dyDescent="0.3">
      <c r="B15" s="27">
        <v>46032</v>
      </c>
      <c r="C15" s="28">
        <v>2849</v>
      </c>
      <c r="D15" s="33">
        <v>5456393</v>
      </c>
      <c r="E15" s="31" t="s">
        <v>51</v>
      </c>
      <c r="F15" s="32">
        <v>45</v>
      </c>
    </row>
    <row r="16" spans="1:6" x14ac:dyDescent="0.3">
      <c r="B16" s="27">
        <v>46032</v>
      </c>
      <c r="C16" s="28">
        <v>2849</v>
      </c>
      <c r="D16" s="33">
        <v>5456395</v>
      </c>
      <c r="E16" s="31" t="s">
        <v>52</v>
      </c>
      <c r="F16" s="32">
        <v>35</v>
      </c>
    </row>
    <row r="17" spans="2:7" x14ac:dyDescent="0.3">
      <c r="B17" s="27">
        <v>46032</v>
      </c>
      <c r="C17" s="28">
        <v>2849</v>
      </c>
      <c r="D17" s="33">
        <v>5456396</v>
      </c>
      <c r="E17" s="31" t="s">
        <v>53</v>
      </c>
      <c r="F17" s="32">
        <v>45</v>
      </c>
    </row>
    <row r="18" spans="2:7" x14ac:dyDescent="0.3">
      <c r="B18" s="27">
        <v>46032</v>
      </c>
      <c r="C18" s="28">
        <v>2849</v>
      </c>
      <c r="D18" s="33">
        <v>5456399</v>
      </c>
      <c r="E18" s="31" t="s">
        <v>54</v>
      </c>
      <c r="F18" s="32">
        <v>40</v>
      </c>
    </row>
    <row r="19" spans="2:7" x14ac:dyDescent="0.3">
      <c r="B19" s="27">
        <v>46032</v>
      </c>
      <c r="C19" s="28">
        <v>3788</v>
      </c>
      <c r="D19" s="33">
        <v>5455283</v>
      </c>
      <c r="E19" s="31" t="s">
        <v>55</v>
      </c>
      <c r="F19" s="32">
        <v>80</v>
      </c>
    </row>
    <row r="20" spans="2:7" x14ac:dyDescent="0.3">
      <c r="B20" s="27">
        <v>46032</v>
      </c>
      <c r="C20" s="28">
        <v>3788</v>
      </c>
      <c r="D20" s="33">
        <v>5455300</v>
      </c>
      <c r="E20" s="36" t="s">
        <v>56</v>
      </c>
      <c r="F20" s="32">
        <v>40</v>
      </c>
    </row>
    <row r="21" spans="2:7" x14ac:dyDescent="0.3">
      <c r="B21" s="27">
        <v>46032</v>
      </c>
      <c r="C21" s="28">
        <v>3788</v>
      </c>
      <c r="D21" s="33">
        <v>5455355</v>
      </c>
      <c r="E21" s="36" t="s">
        <v>57</v>
      </c>
      <c r="F21" s="32">
        <v>90</v>
      </c>
    </row>
    <row r="22" spans="2:7" x14ac:dyDescent="0.3">
      <c r="B22" s="27">
        <v>46032</v>
      </c>
      <c r="C22" s="28">
        <v>7045</v>
      </c>
      <c r="D22" s="33">
        <v>5455351</v>
      </c>
      <c r="E22" s="36" t="s">
        <v>58</v>
      </c>
      <c r="F22" s="32">
        <v>100</v>
      </c>
    </row>
    <row r="23" spans="2:7" x14ac:dyDescent="0.3">
      <c r="B23" s="27">
        <v>46032</v>
      </c>
      <c r="C23" s="28">
        <v>7045</v>
      </c>
      <c r="D23" s="33">
        <v>5455348</v>
      </c>
      <c r="E23" s="36" t="s">
        <v>59</v>
      </c>
      <c r="F23" s="32">
        <v>35</v>
      </c>
      <c r="G23" s="35"/>
    </row>
    <row r="24" spans="2:7" x14ac:dyDescent="0.3">
      <c r="B24" s="27">
        <v>46032</v>
      </c>
      <c r="C24" s="28">
        <v>7045</v>
      </c>
      <c r="D24" s="33">
        <v>5455388</v>
      </c>
      <c r="E24" s="36" t="s">
        <v>60</v>
      </c>
      <c r="F24" s="32">
        <v>70</v>
      </c>
      <c r="G24" s="35"/>
    </row>
    <row r="25" spans="2:7" x14ac:dyDescent="0.3">
      <c r="B25" s="27">
        <v>46032</v>
      </c>
      <c r="C25" s="28">
        <v>722</v>
      </c>
      <c r="D25" s="33">
        <v>5455347</v>
      </c>
      <c r="E25" s="36" t="s">
        <v>61</v>
      </c>
      <c r="F25" s="32">
        <v>160</v>
      </c>
    </row>
    <row r="26" spans="2:7" x14ac:dyDescent="0.3">
      <c r="B26" s="27">
        <v>46032</v>
      </c>
      <c r="C26" s="28">
        <v>722</v>
      </c>
      <c r="D26" s="33">
        <v>5455324</v>
      </c>
      <c r="E26" s="36" t="s">
        <v>62</v>
      </c>
      <c r="F26" s="32">
        <v>38</v>
      </c>
    </row>
    <row r="27" spans="2:7" x14ac:dyDescent="0.3">
      <c r="B27" s="27">
        <v>46032</v>
      </c>
      <c r="C27" s="28">
        <v>529</v>
      </c>
      <c r="D27" s="33">
        <v>5455325</v>
      </c>
      <c r="E27" s="36" t="s">
        <v>63</v>
      </c>
      <c r="F27" s="32">
        <v>45</v>
      </c>
    </row>
    <row r="28" spans="2:7" x14ac:dyDescent="0.3">
      <c r="B28" s="27">
        <v>46032</v>
      </c>
      <c r="C28" s="28">
        <v>529</v>
      </c>
      <c r="D28" s="33">
        <v>5455288</v>
      </c>
      <c r="E28" s="36" t="s">
        <v>64</v>
      </c>
      <c r="F28" s="32">
        <v>40</v>
      </c>
    </row>
    <row r="29" spans="2:7" x14ac:dyDescent="0.3">
      <c r="B29" s="27">
        <v>46032</v>
      </c>
      <c r="C29" s="28">
        <v>529</v>
      </c>
      <c r="D29" s="33">
        <v>5455270</v>
      </c>
      <c r="E29" s="31" t="s">
        <v>65</v>
      </c>
      <c r="F29" s="32">
        <v>35</v>
      </c>
    </row>
    <row r="30" spans="2:7" x14ac:dyDescent="0.3">
      <c r="B30" s="27">
        <v>46032</v>
      </c>
      <c r="C30" s="28">
        <v>529</v>
      </c>
      <c r="D30" s="33">
        <v>5455341</v>
      </c>
      <c r="E30" s="31" t="s">
        <v>66</v>
      </c>
      <c r="F30" s="32">
        <v>50</v>
      </c>
    </row>
    <row r="31" spans="2:7" x14ac:dyDescent="0.3">
      <c r="B31" s="27">
        <v>46032</v>
      </c>
      <c r="C31" s="28">
        <v>529</v>
      </c>
      <c r="D31" s="33">
        <v>5455386</v>
      </c>
      <c r="E31" s="31" t="s">
        <v>67</v>
      </c>
      <c r="F31" s="32">
        <v>45</v>
      </c>
    </row>
    <row r="32" spans="2:7" x14ac:dyDescent="0.3">
      <c r="B32" s="27">
        <v>46032</v>
      </c>
      <c r="C32" s="28">
        <v>529</v>
      </c>
      <c r="D32" s="33">
        <v>5455379</v>
      </c>
      <c r="E32" s="31" t="s">
        <v>68</v>
      </c>
      <c r="F32" s="32">
        <v>40</v>
      </c>
    </row>
    <row r="33" spans="2:6" x14ac:dyDescent="0.3">
      <c r="B33" s="27">
        <v>46032</v>
      </c>
      <c r="C33" s="28">
        <v>529</v>
      </c>
      <c r="D33" s="33">
        <v>5455357</v>
      </c>
      <c r="E33" s="31" t="s">
        <v>69</v>
      </c>
      <c r="F33" s="32">
        <v>45</v>
      </c>
    </row>
    <row r="34" spans="2:6" x14ac:dyDescent="0.3">
      <c r="B34" s="27">
        <v>46032</v>
      </c>
      <c r="C34" s="28">
        <v>529</v>
      </c>
      <c r="D34" s="33">
        <v>5454593</v>
      </c>
      <c r="E34" s="31" t="s">
        <v>70</v>
      </c>
      <c r="F34" s="32">
        <v>55</v>
      </c>
    </row>
    <row r="35" spans="2:6" x14ac:dyDescent="0.3">
      <c r="B35" s="27">
        <v>46032</v>
      </c>
      <c r="C35" s="28">
        <v>9443</v>
      </c>
      <c r="D35" s="33">
        <v>5455342</v>
      </c>
      <c r="E35" s="31" t="s">
        <v>71</v>
      </c>
      <c r="F35" s="32">
        <v>45</v>
      </c>
    </row>
    <row r="36" spans="2:6" x14ac:dyDescent="0.3">
      <c r="B36" s="27">
        <v>46032</v>
      </c>
      <c r="C36" s="28">
        <v>9443</v>
      </c>
      <c r="D36" s="33">
        <v>5455310</v>
      </c>
      <c r="E36" s="31" t="s">
        <v>72</v>
      </c>
      <c r="F36" s="32">
        <v>30</v>
      </c>
    </row>
    <row r="37" spans="2:6" x14ac:dyDescent="0.3">
      <c r="B37" s="27">
        <v>46032</v>
      </c>
      <c r="C37" s="28">
        <v>9443</v>
      </c>
      <c r="D37" s="33">
        <v>5455368</v>
      </c>
      <c r="E37" s="31" t="s">
        <v>73</v>
      </c>
      <c r="F37" s="32">
        <v>45</v>
      </c>
    </row>
    <row r="38" spans="2:6" x14ac:dyDescent="0.3">
      <c r="B38" s="27">
        <v>46032</v>
      </c>
      <c r="C38" s="28">
        <v>3504</v>
      </c>
      <c r="D38" s="33">
        <v>5455354</v>
      </c>
      <c r="E38" s="31" t="s">
        <v>74</v>
      </c>
      <c r="F38" s="32">
        <v>50</v>
      </c>
    </row>
    <row r="39" spans="2:6" x14ac:dyDescent="0.3">
      <c r="B39" s="27">
        <v>46032</v>
      </c>
      <c r="C39" s="28">
        <v>3504</v>
      </c>
      <c r="D39" s="31" t="s">
        <v>75</v>
      </c>
      <c r="E39" s="31" t="s">
        <v>76</v>
      </c>
      <c r="F39" s="32">
        <v>45</v>
      </c>
    </row>
    <row r="40" spans="2:6" x14ac:dyDescent="0.3">
      <c r="B40" s="27">
        <v>46032</v>
      </c>
      <c r="C40" s="28">
        <v>3504</v>
      </c>
      <c r="D40" s="33">
        <v>5455395</v>
      </c>
      <c r="E40" s="31" t="s">
        <v>77</v>
      </c>
      <c r="F40" s="32">
        <v>50</v>
      </c>
    </row>
    <row r="41" spans="2:6" x14ac:dyDescent="0.3">
      <c r="B41" s="27">
        <v>46032</v>
      </c>
      <c r="C41" s="28">
        <v>3504</v>
      </c>
      <c r="D41" s="33">
        <v>5455364</v>
      </c>
      <c r="E41" s="31" t="s">
        <v>78</v>
      </c>
      <c r="F41" s="32">
        <v>60</v>
      </c>
    </row>
    <row r="42" spans="2:6" x14ac:dyDescent="0.3">
      <c r="B42" s="27">
        <v>46032</v>
      </c>
      <c r="C42" s="28">
        <v>3198</v>
      </c>
      <c r="D42" s="33">
        <v>5455463</v>
      </c>
      <c r="E42" s="31" t="s">
        <v>79</v>
      </c>
      <c r="F42" s="32">
        <v>75</v>
      </c>
    </row>
    <row r="43" spans="2:6" x14ac:dyDescent="0.3">
      <c r="B43" s="27">
        <v>46032</v>
      </c>
      <c r="C43" s="28">
        <v>3198</v>
      </c>
      <c r="D43" s="33">
        <v>5455461</v>
      </c>
      <c r="E43" s="31" t="s">
        <v>80</v>
      </c>
      <c r="F43" s="32">
        <v>95</v>
      </c>
    </row>
    <row r="44" spans="2:6" x14ac:dyDescent="0.3">
      <c r="B44" s="27">
        <v>46032</v>
      </c>
      <c r="C44" s="28">
        <v>3198</v>
      </c>
      <c r="D44" s="33">
        <v>5455459</v>
      </c>
      <c r="E44" s="31" t="s">
        <v>81</v>
      </c>
      <c r="F44" s="32">
        <v>55</v>
      </c>
    </row>
    <row r="45" spans="2:6" x14ac:dyDescent="0.3">
      <c r="B45" s="27">
        <v>46032</v>
      </c>
      <c r="C45" s="28">
        <v>3198</v>
      </c>
      <c r="D45" s="33">
        <v>5455456</v>
      </c>
      <c r="E45" s="31" t="s">
        <v>82</v>
      </c>
      <c r="F45" s="32">
        <v>45</v>
      </c>
    </row>
    <row r="46" spans="2:6" x14ac:dyDescent="0.3">
      <c r="B46" s="27">
        <v>46032</v>
      </c>
      <c r="C46" s="28">
        <v>3198</v>
      </c>
      <c r="D46" s="33">
        <v>5455464</v>
      </c>
      <c r="E46" s="31" t="s">
        <v>83</v>
      </c>
      <c r="F46" s="32">
        <v>44</v>
      </c>
    </row>
    <row r="47" spans="2:6" x14ac:dyDescent="0.3">
      <c r="B47" s="27">
        <v>46032</v>
      </c>
      <c r="C47" s="28">
        <v>7092</v>
      </c>
      <c r="D47" s="33">
        <v>5455287</v>
      </c>
      <c r="E47" s="31" t="s">
        <v>84</v>
      </c>
      <c r="F47" s="32">
        <v>31</v>
      </c>
    </row>
    <row r="48" spans="2:6" x14ac:dyDescent="0.3">
      <c r="B48" s="27">
        <v>46032</v>
      </c>
      <c r="C48" s="28">
        <v>7044</v>
      </c>
      <c r="D48" s="33">
        <v>5455397</v>
      </c>
      <c r="E48" s="31" t="s">
        <v>85</v>
      </c>
      <c r="F48" s="32">
        <v>70</v>
      </c>
    </row>
    <row r="49" spans="2:6" x14ac:dyDescent="0.3">
      <c r="B49" s="27">
        <v>46032</v>
      </c>
      <c r="C49" s="28">
        <v>7044</v>
      </c>
      <c r="D49" s="33">
        <v>5455275</v>
      </c>
      <c r="E49" s="31" t="s">
        <v>86</v>
      </c>
      <c r="F49" s="32">
        <v>40</v>
      </c>
    </row>
    <row r="50" spans="2:6" x14ac:dyDescent="0.3">
      <c r="B50" s="27">
        <v>46032</v>
      </c>
      <c r="C50" s="28">
        <v>7044</v>
      </c>
      <c r="D50" s="33">
        <v>5455315</v>
      </c>
      <c r="E50" s="31" t="s">
        <v>87</v>
      </c>
      <c r="F50" s="32">
        <v>175</v>
      </c>
    </row>
    <row r="51" spans="2:6" x14ac:dyDescent="0.3">
      <c r="B51" s="27">
        <v>46032</v>
      </c>
      <c r="C51" s="28">
        <v>7044</v>
      </c>
      <c r="D51" s="33">
        <v>5455416</v>
      </c>
      <c r="E51" s="31" t="s">
        <v>88</v>
      </c>
      <c r="F51" s="32">
        <v>40</v>
      </c>
    </row>
    <row r="52" spans="2:6" x14ac:dyDescent="0.3">
      <c r="B52" s="27">
        <v>46032</v>
      </c>
      <c r="C52" s="28">
        <v>7044</v>
      </c>
      <c r="D52" s="33">
        <v>5455377</v>
      </c>
      <c r="E52" s="31" t="s">
        <v>89</v>
      </c>
      <c r="F52" s="32">
        <v>35</v>
      </c>
    </row>
    <row r="53" spans="2:6" x14ac:dyDescent="0.3">
      <c r="B53" s="27">
        <v>46032</v>
      </c>
      <c r="C53" s="28">
        <v>9461</v>
      </c>
      <c r="D53" s="33">
        <v>5455331</v>
      </c>
      <c r="E53" s="31" t="s">
        <v>90</v>
      </c>
      <c r="F53" s="32">
        <v>70</v>
      </c>
    </row>
    <row r="54" spans="2:6" x14ac:dyDescent="0.3">
      <c r="B54" s="27">
        <v>46032</v>
      </c>
      <c r="C54" s="28">
        <v>9461</v>
      </c>
      <c r="D54" s="33">
        <v>5455421</v>
      </c>
      <c r="E54" s="31" t="s">
        <v>91</v>
      </c>
      <c r="F54" s="32">
        <v>45</v>
      </c>
    </row>
    <row r="55" spans="2:6" x14ac:dyDescent="0.3">
      <c r="B55" s="27">
        <v>46032</v>
      </c>
      <c r="C55" s="28">
        <v>9461</v>
      </c>
      <c r="D55" s="33">
        <v>5455299</v>
      </c>
      <c r="E55" s="31" t="s">
        <v>92</v>
      </c>
      <c r="F55" s="32">
        <v>50</v>
      </c>
    </row>
    <row r="56" spans="2:6" x14ac:dyDescent="0.3">
      <c r="B56" s="27">
        <v>46032</v>
      </c>
      <c r="C56" s="28">
        <v>9461</v>
      </c>
      <c r="D56" s="33">
        <v>5455339</v>
      </c>
      <c r="E56" s="31" t="s">
        <v>93</v>
      </c>
      <c r="F56" s="32">
        <v>35</v>
      </c>
    </row>
    <row r="57" spans="2:6" x14ac:dyDescent="0.3">
      <c r="B57" s="27">
        <v>46032</v>
      </c>
      <c r="C57" s="28">
        <v>3788</v>
      </c>
      <c r="D57" s="33">
        <v>5455384</v>
      </c>
      <c r="E57" s="31" t="s">
        <v>94</v>
      </c>
      <c r="F57" s="32">
        <v>180</v>
      </c>
    </row>
    <row r="58" spans="2:6" x14ac:dyDescent="0.3">
      <c r="B58" s="27">
        <v>46032</v>
      </c>
      <c r="C58" s="28">
        <v>2736</v>
      </c>
      <c r="D58" s="33">
        <v>5455316</v>
      </c>
      <c r="E58" s="31" t="s">
        <v>95</v>
      </c>
      <c r="F58" s="32">
        <v>50</v>
      </c>
    </row>
    <row r="59" spans="2:6" x14ac:dyDescent="0.3">
      <c r="B59" s="27">
        <v>46032</v>
      </c>
      <c r="C59" s="28">
        <v>2736</v>
      </c>
      <c r="D59" s="33">
        <v>5455391</v>
      </c>
      <c r="E59" s="31" t="s">
        <v>96</v>
      </c>
      <c r="F59" s="32">
        <v>45</v>
      </c>
    </row>
    <row r="60" spans="2:6" x14ac:dyDescent="0.3">
      <c r="B60" s="27">
        <v>46032</v>
      </c>
      <c r="C60" s="28">
        <v>3996</v>
      </c>
      <c r="D60" s="33">
        <v>5455396</v>
      </c>
      <c r="E60" s="31" t="s">
        <v>97</v>
      </c>
      <c r="F60" s="32">
        <v>45</v>
      </c>
    </row>
    <row r="61" spans="2:6" x14ac:dyDescent="0.3">
      <c r="B61" s="27">
        <v>46032</v>
      </c>
      <c r="C61" s="28">
        <v>3996</v>
      </c>
      <c r="D61" s="33">
        <v>5455361</v>
      </c>
      <c r="E61" s="31" t="s">
        <v>98</v>
      </c>
      <c r="F61" s="32">
        <v>40</v>
      </c>
    </row>
    <row r="62" spans="2:6" x14ac:dyDescent="0.3">
      <c r="B62" s="27">
        <v>46032</v>
      </c>
      <c r="C62" s="28">
        <v>3996</v>
      </c>
      <c r="D62" s="33">
        <v>5455326</v>
      </c>
      <c r="E62" s="31" t="s">
        <v>99</v>
      </c>
      <c r="F62" s="32">
        <v>25</v>
      </c>
    </row>
    <row r="63" spans="2:6" x14ac:dyDescent="0.3">
      <c r="B63" s="27">
        <v>46032</v>
      </c>
      <c r="C63" s="28">
        <v>3996</v>
      </c>
      <c r="D63" s="33">
        <v>5455284</v>
      </c>
      <c r="E63" s="31" t="s">
        <v>100</v>
      </c>
      <c r="F63" s="32">
        <v>80</v>
      </c>
    </row>
    <row r="64" spans="2:6" x14ac:dyDescent="0.3">
      <c r="B64" s="27">
        <v>46032</v>
      </c>
      <c r="C64" s="28">
        <v>9245</v>
      </c>
      <c r="D64" s="28">
        <v>5455365</v>
      </c>
      <c r="E64" s="31" t="s">
        <v>101</v>
      </c>
      <c r="F64" s="32">
        <v>35</v>
      </c>
    </row>
    <row r="65" spans="2:6" x14ac:dyDescent="0.3">
      <c r="B65" s="27">
        <v>46032</v>
      </c>
      <c r="C65" s="28">
        <v>9245</v>
      </c>
      <c r="D65" s="33">
        <v>5455425</v>
      </c>
      <c r="E65" s="31" t="s">
        <v>102</v>
      </c>
      <c r="F65" s="32">
        <v>55</v>
      </c>
    </row>
    <row r="66" spans="2:6" x14ac:dyDescent="0.3">
      <c r="B66" s="27">
        <v>46032</v>
      </c>
      <c r="C66" s="28">
        <v>9172</v>
      </c>
      <c r="D66" s="33">
        <v>5455345</v>
      </c>
      <c r="E66" s="31" t="s">
        <v>103</v>
      </c>
      <c r="F66" s="32">
        <v>75</v>
      </c>
    </row>
    <row r="67" spans="2:6" x14ac:dyDescent="0.3">
      <c r="B67" s="27">
        <v>46032</v>
      </c>
      <c r="C67" s="28">
        <v>9172</v>
      </c>
      <c r="D67" s="33">
        <v>5455382</v>
      </c>
      <c r="E67" s="31" t="s">
        <v>104</v>
      </c>
      <c r="F67" s="32">
        <v>60</v>
      </c>
    </row>
    <row r="68" spans="2:6" x14ac:dyDescent="0.3">
      <c r="B68" s="27">
        <v>46032</v>
      </c>
      <c r="C68" s="28">
        <v>9172</v>
      </c>
      <c r="D68" s="33">
        <v>5455349</v>
      </c>
      <c r="E68" s="31" t="s">
        <v>105</v>
      </c>
      <c r="F68" s="32">
        <v>70</v>
      </c>
    </row>
    <row r="69" spans="2:6" x14ac:dyDescent="0.3">
      <c r="B69" s="27">
        <v>46032</v>
      </c>
      <c r="C69" s="28">
        <v>3532</v>
      </c>
      <c r="D69" s="33">
        <v>5454958</v>
      </c>
      <c r="E69" s="31" t="s">
        <v>106</v>
      </c>
      <c r="F69" s="32">
        <v>88</v>
      </c>
    </row>
    <row r="70" spans="2:6" x14ac:dyDescent="0.3">
      <c r="B70" s="27">
        <v>46032</v>
      </c>
      <c r="C70" s="28">
        <v>3532</v>
      </c>
      <c r="D70" s="33">
        <v>5455343</v>
      </c>
      <c r="E70" s="31" t="s">
        <v>107</v>
      </c>
      <c r="F70" s="32">
        <v>80</v>
      </c>
    </row>
    <row r="71" spans="2:6" x14ac:dyDescent="0.3">
      <c r="B71" s="27">
        <v>46032</v>
      </c>
      <c r="C71" s="28">
        <v>3532</v>
      </c>
      <c r="D71" s="33">
        <v>5455306</v>
      </c>
      <c r="E71" s="31" t="s">
        <v>108</v>
      </c>
      <c r="F71" s="32">
        <v>60</v>
      </c>
    </row>
    <row r="72" spans="2:6" x14ac:dyDescent="0.3">
      <c r="B72" s="27">
        <v>46032</v>
      </c>
      <c r="C72" s="28">
        <v>3532</v>
      </c>
      <c r="D72" s="33">
        <v>5455258</v>
      </c>
      <c r="E72" s="31" t="s">
        <v>109</v>
      </c>
      <c r="F72" s="32">
        <v>88</v>
      </c>
    </row>
    <row r="73" spans="2:6" x14ac:dyDescent="0.3">
      <c r="B73" s="27">
        <v>46032</v>
      </c>
      <c r="C73" s="28">
        <v>7559</v>
      </c>
      <c r="D73" s="33">
        <v>5456286</v>
      </c>
      <c r="E73" s="31" t="s">
        <v>110</v>
      </c>
      <c r="F73" s="32">
        <v>45</v>
      </c>
    </row>
    <row r="74" spans="2:6" x14ac:dyDescent="0.3">
      <c r="B74" s="27">
        <v>46032</v>
      </c>
      <c r="C74" s="28">
        <v>774</v>
      </c>
      <c r="D74" s="33">
        <v>5455334</v>
      </c>
      <c r="E74" s="31" t="s">
        <v>111</v>
      </c>
      <c r="F74" s="32">
        <v>45</v>
      </c>
    </row>
    <row r="75" spans="2:6" x14ac:dyDescent="0.3">
      <c r="B75" s="27">
        <v>46032</v>
      </c>
      <c r="C75" s="28">
        <v>774</v>
      </c>
      <c r="D75" s="33">
        <v>5455293</v>
      </c>
      <c r="E75" s="31" t="s">
        <v>112</v>
      </c>
      <c r="F75" s="32">
        <v>35</v>
      </c>
    </row>
    <row r="76" spans="2:6" x14ac:dyDescent="0.3">
      <c r="B76" s="27">
        <v>46032</v>
      </c>
      <c r="C76" s="28">
        <v>774</v>
      </c>
      <c r="D76" s="33">
        <v>5455405</v>
      </c>
      <c r="E76" s="31" t="s">
        <v>113</v>
      </c>
      <c r="F76" s="32">
        <v>45</v>
      </c>
    </row>
    <row r="77" spans="2:6" x14ac:dyDescent="0.3">
      <c r="B77" s="27">
        <v>46032</v>
      </c>
      <c r="C77" s="28">
        <v>774</v>
      </c>
      <c r="D77" s="33">
        <v>5455346</v>
      </c>
      <c r="E77" s="31" t="s">
        <v>114</v>
      </c>
      <c r="F77" s="32">
        <v>50</v>
      </c>
    </row>
    <row r="78" spans="2:6" x14ac:dyDescent="0.3">
      <c r="B78" s="27">
        <v>46032</v>
      </c>
      <c r="C78" s="28">
        <v>1594</v>
      </c>
      <c r="D78" s="33">
        <v>5455385</v>
      </c>
      <c r="E78" s="31" t="s">
        <v>115</v>
      </c>
      <c r="F78" s="32">
        <v>45</v>
      </c>
    </row>
    <row r="79" spans="2:6" x14ac:dyDescent="0.3">
      <c r="B79" s="27">
        <v>46032</v>
      </c>
      <c r="C79" s="28">
        <v>1594</v>
      </c>
      <c r="D79" s="33">
        <v>5455394</v>
      </c>
      <c r="E79" s="31" t="s">
        <v>116</v>
      </c>
      <c r="F79" s="32">
        <v>90</v>
      </c>
    </row>
    <row r="80" spans="2:6" x14ac:dyDescent="0.3">
      <c r="B80" s="27">
        <v>46032</v>
      </c>
      <c r="C80" s="28">
        <v>1594</v>
      </c>
      <c r="D80" s="33">
        <v>5455428</v>
      </c>
      <c r="E80" s="31" t="s">
        <v>117</v>
      </c>
      <c r="F80" s="32">
        <v>70</v>
      </c>
    </row>
    <row r="81" spans="2:6" x14ac:dyDescent="0.3">
      <c r="B81" s="27">
        <v>46032</v>
      </c>
      <c r="C81" s="28">
        <v>1594</v>
      </c>
      <c r="D81" s="33">
        <v>5455373</v>
      </c>
      <c r="E81" s="31" t="s">
        <v>118</v>
      </c>
      <c r="F81" s="32">
        <v>80</v>
      </c>
    </row>
    <row r="82" spans="2:6" x14ac:dyDescent="0.3">
      <c r="B82" s="27">
        <v>46032</v>
      </c>
      <c r="C82" s="28">
        <v>3685</v>
      </c>
      <c r="D82" s="33">
        <v>5455404</v>
      </c>
      <c r="E82" s="31" t="s">
        <v>119</v>
      </c>
      <c r="F82" s="32">
        <v>80</v>
      </c>
    </row>
    <row r="83" spans="2:6" x14ac:dyDescent="0.3">
      <c r="B83" s="27">
        <v>46032</v>
      </c>
      <c r="C83" s="28">
        <v>7474</v>
      </c>
      <c r="D83" s="33">
        <v>5455418</v>
      </c>
      <c r="E83" s="31" t="s">
        <v>120</v>
      </c>
      <c r="F83" s="32">
        <v>40</v>
      </c>
    </row>
    <row r="84" spans="2:6" x14ac:dyDescent="0.3">
      <c r="B84" s="27">
        <v>46032</v>
      </c>
      <c r="C84" s="28">
        <v>7474</v>
      </c>
      <c r="D84" s="33">
        <v>5455308</v>
      </c>
      <c r="E84" s="31" t="s">
        <v>121</v>
      </c>
      <c r="F84" s="32">
        <v>40</v>
      </c>
    </row>
    <row r="85" spans="2:6" x14ac:dyDescent="0.3">
      <c r="B85" s="27">
        <v>46032</v>
      </c>
      <c r="C85" s="28">
        <v>7474</v>
      </c>
      <c r="D85" s="33">
        <v>5455330</v>
      </c>
      <c r="E85" s="31" t="s">
        <v>122</v>
      </c>
      <c r="F85" s="32">
        <v>50</v>
      </c>
    </row>
    <row r="86" spans="2:6" x14ac:dyDescent="0.3">
      <c r="B86" s="27">
        <v>46032</v>
      </c>
      <c r="C86" s="28">
        <v>7474</v>
      </c>
      <c r="D86" s="33">
        <v>5455360</v>
      </c>
      <c r="E86" s="31" t="s">
        <v>123</v>
      </c>
      <c r="F86" s="32">
        <v>45</v>
      </c>
    </row>
    <row r="87" spans="2:6" x14ac:dyDescent="0.3">
      <c r="B87" s="27">
        <v>46032</v>
      </c>
      <c r="C87" s="28">
        <v>7474</v>
      </c>
      <c r="D87" s="33">
        <v>5456298</v>
      </c>
      <c r="E87" s="31" t="s">
        <v>124</v>
      </c>
      <c r="F87" s="32">
        <v>50</v>
      </c>
    </row>
    <row r="88" spans="2:6" x14ac:dyDescent="0.3">
      <c r="B88" s="27">
        <v>46032</v>
      </c>
      <c r="C88" s="28">
        <v>7474</v>
      </c>
      <c r="D88" s="33">
        <v>5455383</v>
      </c>
      <c r="E88" s="31" t="s">
        <v>125</v>
      </c>
      <c r="F88" s="32">
        <v>45</v>
      </c>
    </row>
    <row r="89" spans="2:6" x14ac:dyDescent="0.3">
      <c r="B89" s="27">
        <v>46032</v>
      </c>
      <c r="C89" s="28">
        <v>2746</v>
      </c>
      <c r="D89" s="33">
        <v>5456303</v>
      </c>
      <c r="E89" s="31" t="s">
        <v>126</v>
      </c>
      <c r="F89" s="32">
        <v>45</v>
      </c>
    </row>
    <row r="90" spans="2:6" x14ac:dyDescent="0.3">
      <c r="B90" s="27">
        <v>46032</v>
      </c>
      <c r="C90" s="28">
        <v>2746</v>
      </c>
      <c r="D90" s="33">
        <v>5456301</v>
      </c>
      <c r="E90" s="31" t="s">
        <v>127</v>
      </c>
      <c r="F90" s="32">
        <v>40</v>
      </c>
    </row>
    <row r="91" spans="2:6" x14ac:dyDescent="0.3">
      <c r="B91" s="27">
        <v>46032</v>
      </c>
      <c r="C91" s="28">
        <v>2746</v>
      </c>
      <c r="D91" s="33">
        <v>5456305</v>
      </c>
      <c r="E91" s="31" t="s">
        <v>128</v>
      </c>
      <c r="F91" s="32">
        <v>30</v>
      </c>
    </row>
    <row r="92" spans="2:6" x14ac:dyDescent="0.3">
      <c r="B92" s="27">
        <v>46032</v>
      </c>
      <c r="C92" s="28">
        <v>3767</v>
      </c>
      <c r="D92" s="33">
        <v>5455285</v>
      </c>
      <c r="E92" s="31" t="s">
        <v>129</v>
      </c>
      <c r="F92" s="32">
        <v>85</v>
      </c>
    </row>
    <row r="93" spans="2:6" x14ac:dyDescent="0.3">
      <c r="B93" s="27">
        <v>46032</v>
      </c>
      <c r="C93" s="28">
        <v>3767</v>
      </c>
      <c r="D93" s="33">
        <v>5456417</v>
      </c>
      <c r="E93" s="31" t="s">
        <v>130</v>
      </c>
      <c r="F93" s="32">
        <v>35</v>
      </c>
    </row>
    <row r="94" spans="2:6" x14ac:dyDescent="0.3">
      <c r="B94" s="27">
        <v>46032</v>
      </c>
      <c r="C94" s="28">
        <v>3767</v>
      </c>
      <c r="D94" s="33">
        <v>5456310</v>
      </c>
      <c r="E94" s="31" t="s">
        <v>131</v>
      </c>
      <c r="F94" s="32">
        <v>180</v>
      </c>
    </row>
    <row r="95" spans="2:6" x14ac:dyDescent="0.3">
      <c r="B95" s="27">
        <v>46032</v>
      </c>
      <c r="C95" s="28">
        <v>3767</v>
      </c>
      <c r="D95" s="33">
        <v>5456307</v>
      </c>
      <c r="E95" s="31" t="s">
        <v>132</v>
      </c>
      <c r="F95" s="32">
        <v>35</v>
      </c>
    </row>
    <row r="96" spans="2:6" x14ac:dyDescent="0.3">
      <c r="B96" s="27">
        <v>46033</v>
      </c>
      <c r="C96" s="28">
        <v>9172</v>
      </c>
      <c r="D96" s="33">
        <v>5456432</v>
      </c>
      <c r="E96" s="31" t="s">
        <v>133</v>
      </c>
      <c r="F96" s="32">
        <v>45</v>
      </c>
    </row>
    <row r="97" spans="2:6" x14ac:dyDescent="0.3">
      <c r="B97" s="27">
        <v>46033</v>
      </c>
      <c r="C97" s="28">
        <v>2849</v>
      </c>
      <c r="D97" s="33">
        <v>5456471</v>
      </c>
      <c r="E97" s="31" t="s">
        <v>134</v>
      </c>
      <c r="F97" s="32">
        <v>45</v>
      </c>
    </row>
    <row r="98" spans="2:6" x14ac:dyDescent="0.3">
      <c r="B98" s="27">
        <v>46033</v>
      </c>
      <c r="C98" s="28">
        <v>3767</v>
      </c>
      <c r="D98" s="33">
        <v>5456460</v>
      </c>
      <c r="E98" s="31" t="s">
        <v>135</v>
      </c>
      <c r="F98" s="32">
        <v>120</v>
      </c>
    </row>
    <row r="99" spans="2:6" x14ac:dyDescent="0.3">
      <c r="B99" s="27">
        <v>46033</v>
      </c>
      <c r="C99" s="28">
        <v>2613</v>
      </c>
      <c r="D99" s="33">
        <v>5456473</v>
      </c>
      <c r="E99" s="31" t="s">
        <v>136</v>
      </c>
      <c r="F99" s="32">
        <v>75</v>
      </c>
    </row>
    <row r="100" spans="2:6" x14ac:dyDescent="0.3">
      <c r="B100" s="27">
        <v>46033</v>
      </c>
      <c r="C100" s="28">
        <v>2746</v>
      </c>
      <c r="D100" s="33">
        <v>5456489</v>
      </c>
      <c r="E100" s="31" t="s">
        <v>137</v>
      </c>
      <c r="F100" s="32">
        <v>45</v>
      </c>
    </row>
    <row r="101" spans="2:6" x14ac:dyDescent="0.3">
      <c r="B101" s="27">
        <v>46033</v>
      </c>
      <c r="C101" s="28">
        <v>2746</v>
      </c>
      <c r="D101" s="33">
        <v>5456439</v>
      </c>
      <c r="E101" s="31" t="s">
        <v>138</v>
      </c>
      <c r="F101" s="32">
        <v>56</v>
      </c>
    </row>
    <row r="102" spans="2:6" x14ac:dyDescent="0.3">
      <c r="B102" s="27">
        <v>46033</v>
      </c>
      <c r="C102" s="28">
        <v>3504</v>
      </c>
      <c r="D102" s="33">
        <v>5456441</v>
      </c>
      <c r="E102" s="31" t="s">
        <v>139</v>
      </c>
      <c r="F102" s="32">
        <v>80</v>
      </c>
    </row>
    <row r="103" spans="2:6" x14ac:dyDescent="0.3">
      <c r="B103" s="27">
        <v>46033</v>
      </c>
      <c r="C103" s="28">
        <v>9120</v>
      </c>
      <c r="D103" s="33">
        <v>5456371</v>
      </c>
      <c r="E103" s="31" t="s">
        <v>140</v>
      </c>
      <c r="F103" s="32">
        <v>60</v>
      </c>
    </row>
    <row r="104" spans="2:6" x14ac:dyDescent="0.3">
      <c r="B104" s="27">
        <v>46033</v>
      </c>
      <c r="C104" s="28">
        <v>1594</v>
      </c>
      <c r="D104" s="33">
        <v>5456445</v>
      </c>
      <c r="E104" s="31" t="s">
        <v>141</v>
      </c>
      <c r="F104" s="32">
        <v>50</v>
      </c>
    </row>
    <row r="105" spans="2:6" x14ac:dyDescent="0.3">
      <c r="B105" s="27">
        <v>46033</v>
      </c>
      <c r="C105" s="28">
        <v>774</v>
      </c>
      <c r="D105" s="33">
        <v>5456474</v>
      </c>
      <c r="E105" s="31" t="s">
        <v>142</v>
      </c>
      <c r="F105" s="32">
        <v>190</v>
      </c>
    </row>
    <row r="106" spans="2:6" x14ac:dyDescent="0.3">
      <c r="B106" s="27">
        <v>46033</v>
      </c>
      <c r="C106" s="28">
        <v>4027</v>
      </c>
      <c r="D106" s="33">
        <v>5456276</v>
      </c>
      <c r="E106" s="31" t="s">
        <v>143</v>
      </c>
      <c r="F106" s="32">
        <v>50</v>
      </c>
    </row>
    <row r="107" spans="2:6" x14ac:dyDescent="0.3">
      <c r="B107" s="27">
        <v>46033</v>
      </c>
      <c r="C107" s="28">
        <v>4027</v>
      </c>
      <c r="D107" s="33">
        <v>5456487</v>
      </c>
      <c r="E107" s="31" t="s">
        <v>144</v>
      </c>
      <c r="F107" s="32">
        <v>40</v>
      </c>
    </row>
    <row r="108" spans="2:6" x14ac:dyDescent="0.3">
      <c r="B108" s="27">
        <v>46033</v>
      </c>
      <c r="C108" s="28">
        <v>4027</v>
      </c>
      <c r="D108" s="33">
        <v>5456477</v>
      </c>
      <c r="E108" s="31" t="s">
        <v>145</v>
      </c>
      <c r="F108" s="32">
        <v>55</v>
      </c>
    </row>
    <row r="109" spans="2:6" x14ac:dyDescent="0.3">
      <c r="B109" s="27">
        <v>46033</v>
      </c>
      <c r="C109" s="28">
        <v>7474</v>
      </c>
      <c r="D109" s="33">
        <v>5456506</v>
      </c>
      <c r="E109" s="31" t="s">
        <v>146</v>
      </c>
      <c r="F109" s="32">
        <v>35</v>
      </c>
    </row>
    <row r="110" spans="2:6" x14ac:dyDescent="0.3">
      <c r="B110" s="27">
        <v>46033</v>
      </c>
      <c r="C110" s="28">
        <v>7474</v>
      </c>
      <c r="D110" s="33">
        <v>5456442</v>
      </c>
      <c r="E110" s="31" t="s">
        <v>147</v>
      </c>
      <c r="F110" s="32">
        <v>100</v>
      </c>
    </row>
    <row r="111" spans="2:6" x14ac:dyDescent="0.3">
      <c r="B111" s="27">
        <v>46033</v>
      </c>
      <c r="C111" s="28">
        <v>7474</v>
      </c>
      <c r="D111" s="33">
        <v>5456452</v>
      </c>
      <c r="E111" s="31" t="s">
        <v>148</v>
      </c>
      <c r="F111" s="32">
        <v>70</v>
      </c>
    </row>
    <row r="112" spans="2:6" x14ac:dyDescent="0.3">
      <c r="B112" s="27">
        <v>46033</v>
      </c>
      <c r="C112" s="28">
        <v>9461</v>
      </c>
      <c r="D112" s="33">
        <v>5456499</v>
      </c>
      <c r="E112" s="31" t="s">
        <v>149</v>
      </c>
      <c r="F112" s="32">
        <v>50</v>
      </c>
    </row>
    <row r="113" spans="2:6" x14ac:dyDescent="0.3">
      <c r="B113" s="27">
        <v>46033</v>
      </c>
      <c r="C113" s="28">
        <v>3685</v>
      </c>
      <c r="D113" s="33">
        <v>5456470</v>
      </c>
      <c r="E113" s="31" t="s">
        <v>150</v>
      </c>
      <c r="F113" s="32">
        <v>60</v>
      </c>
    </row>
    <row r="114" spans="2:6" x14ac:dyDescent="0.3">
      <c r="B114" s="27">
        <v>46033</v>
      </c>
      <c r="C114" s="28">
        <v>9245</v>
      </c>
      <c r="D114" s="33">
        <v>5456475</v>
      </c>
      <c r="E114" s="31" t="s">
        <v>151</v>
      </c>
      <c r="F114" s="32">
        <v>80</v>
      </c>
    </row>
    <row r="115" spans="2:6" x14ac:dyDescent="0.3">
      <c r="B115" s="27">
        <v>46033</v>
      </c>
      <c r="C115" s="28">
        <v>7044</v>
      </c>
      <c r="D115" s="33">
        <v>5456495</v>
      </c>
      <c r="E115" s="31" t="s">
        <v>152</v>
      </c>
      <c r="F115" s="32">
        <v>50</v>
      </c>
    </row>
    <row r="116" spans="2:6" x14ac:dyDescent="0.3">
      <c r="B116" s="27">
        <v>46033</v>
      </c>
      <c r="C116" s="28">
        <v>9443</v>
      </c>
      <c r="D116" s="33">
        <v>5456468</v>
      </c>
      <c r="E116" s="31" t="s">
        <v>153</v>
      </c>
      <c r="F116" s="32">
        <v>45</v>
      </c>
    </row>
    <row r="117" spans="2:6" x14ac:dyDescent="0.3">
      <c r="B117" s="27">
        <v>46033</v>
      </c>
      <c r="C117" s="28">
        <v>529</v>
      </c>
      <c r="D117" s="33">
        <v>5456518</v>
      </c>
      <c r="E117" s="31" t="s">
        <v>154</v>
      </c>
      <c r="F117" s="32">
        <v>45</v>
      </c>
    </row>
    <row r="118" spans="2:6" x14ac:dyDescent="0.3">
      <c r="B118" s="27">
        <v>46033</v>
      </c>
      <c r="C118" s="28">
        <v>9120</v>
      </c>
      <c r="D118" s="33">
        <v>5456512</v>
      </c>
      <c r="E118" s="31" t="s">
        <v>155</v>
      </c>
      <c r="F118" s="32">
        <v>100</v>
      </c>
    </row>
    <row r="119" spans="2:6" x14ac:dyDescent="0.3">
      <c r="B119" s="27">
        <v>46033</v>
      </c>
      <c r="C119" s="28">
        <v>722</v>
      </c>
      <c r="D119" s="33">
        <v>5456514</v>
      </c>
      <c r="E119" s="31" t="s">
        <v>156</v>
      </c>
      <c r="F119" s="32">
        <v>44</v>
      </c>
    </row>
    <row r="120" spans="2:6" x14ac:dyDescent="0.3">
      <c r="B120" s="27"/>
      <c r="C120" s="28"/>
      <c r="D120" s="33"/>
      <c r="E120" s="31"/>
      <c r="F120" s="32"/>
    </row>
    <row r="121" spans="2:6" x14ac:dyDescent="0.3">
      <c r="B121" s="27"/>
      <c r="C121" s="28"/>
      <c r="D121" s="33"/>
      <c r="E121" s="31"/>
      <c r="F121" s="32"/>
    </row>
    <row r="122" spans="2:6" x14ac:dyDescent="0.3">
      <c r="B122" s="27"/>
      <c r="C122" s="28"/>
      <c r="D122" s="33"/>
      <c r="E122" s="31"/>
      <c r="F122" s="32"/>
    </row>
    <row r="123" spans="2:6" x14ac:dyDescent="0.3">
      <c r="B123" s="27"/>
      <c r="C123" s="28"/>
      <c r="D123" s="33"/>
      <c r="E123" s="31"/>
      <c r="F123" s="32"/>
    </row>
    <row r="124" spans="2:6" x14ac:dyDescent="0.3">
      <c r="B124" s="27"/>
      <c r="C124" s="28"/>
      <c r="D124" s="33"/>
      <c r="E124" s="31"/>
      <c r="F124" s="32"/>
    </row>
    <row r="125" spans="2:6" ht="15" thickBot="1" x14ac:dyDescent="0.35"/>
    <row r="126" spans="2:6" ht="15" thickBot="1" x14ac:dyDescent="0.35">
      <c r="B126" s="59" t="s">
        <v>28</v>
      </c>
      <c r="C126" s="60"/>
      <c r="D126" s="60"/>
      <c r="E126" s="61"/>
      <c r="F126" s="26">
        <f>SUM(F5:F124)</f>
        <v>6954</v>
      </c>
    </row>
  </sheetData>
  <autoFilter ref="B4:F124" xr:uid="{F38F0546-E0A7-456A-A674-AD9E19479F14}"/>
  <mergeCells count="1">
    <mergeCell ref="B126:E126"/>
  </mergeCells>
  <phoneticPr fontId="7" type="noConversion"/>
  <conditionalFormatting sqref="D126:D1048576 D1 D3:D63 D65:D124">
    <cfRule type="duplicateValues" dxfId="9" priority="13"/>
  </conditionalFormatting>
  <conditionalFormatting sqref="E9">
    <cfRule type="duplicateValues" dxfId="8" priority="1"/>
  </conditionalFormatting>
  <conditionalFormatting sqref="E126:E1048576 E1:E8 E10:E124">
    <cfRule type="duplicateValues" dxfId="7" priority="1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DB70-AC29-4EF5-B46C-CDA9ACAE6318}">
  <dimension ref="A1:M42"/>
  <sheetViews>
    <sheetView showGridLines="0" tabSelected="1" workbookViewId="0">
      <selection activeCell="D6" sqref="D6"/>
    </sheetView>
  </sheetViews>
  <sheetFormatPr baseColWidth="10" defaultRowHeight="14.4" x14ac:dyDescent="0.3"/>
  <cols>
    <col min="1" max="1" width="4.21875" customWidth="1"/>
    <col min="2" max="2" width="11.44140625" style="1"/>
    <col min="3" max="3" width="19.88671875" customWidth="1"/>
    <col min="5" max="5" width="29.33203125" bestFit="1" customWidth="1"/>
    <col min="6" max="6" width="11.44140625" style="5" customWidth="1"/>
    <col min="7" max="7" width="5.6640625" customWidth="1"/>
    <col min="8" max="8" width="34.5546875" customWidth="1"/>
    <col min="9" max="9" width="11.44140625" style="5"/>
    <col min="10" max="10" width="5.6640625" customWidth="1"/>
    <col min="11" max="11" width="30.44140625" customWidth="1"/>
    <col min="12" max="12" width="12" style="5" bestFit="1" customWidth="1"/>
  </cols>
  <sheetData>
    <row r="1" spans="1:13" ht="15" thickBot="1" x14ac:dyDescent="0.35"/>
    <row r="2" spans="1:13" x14ac:dyDescent="0.3">
      <c r="A2" s="62" t="s">
        <v>2</v>
      </c>
      <c r="B2" s="62"/>
      <c r="C2" s="62"/>
      <c r="D2" s="62"/>
      <c r="E2" s="64" t="s">
        <v>24</v>
      </c>
      <c r="F2" s="65"/>
      <c r="G2" s="65"/>
      <c r="H2" s="65"/>
      <c r="I2" s="65"/>
      <c r="J2" s="65"/>
      <c r="K2" s="65"/>
      <c r="L2" s="66"/>
    </row>
    <row r="3" spans="1:13" ht="15" thickBot="1" x14ac:dyDescent="0.35">
      <c r="E3" s="67"/>
      <c r="F3" s="68"/>
      <c r="G3" s="68"/>
      <c r="H3" s="68"/>
      <c r="I3" s="68"/>
      <c r="J3" s="68"/>
      <c r="K3" s="68"/>
      <c r="L3" s="69"/>
    </row>
    <row r="4" spans="1:13" x14ac:dyDescent="0.3">
      <c r="B4" s="8" t="s">
        <v>0</v>
      </c>
      <c r="C4" s="9" t="s">
        <v>163</v>
      </c>
    </row>
    <row r="5" spans="1:13" x14ac:dyDescent="0.3">
      <c r="E5" s="63" t="s">
        <v>20</v>
      </c>
      <c r="F5" s="63"/>
      <c r="G5" s="63"/>
      <c r="H5" s="63"/>
      <c r="I5" s="63"/>
      <c r="J5" s="63"/>
      <c r="K5" s="63"/>
      <c r="L5" s="63"/>
    </row>
    <row r="6" spans="1:13" x14ac:dyDescent="0.3">
      <c r="B6" s="6" t="s">
        <v>1</v>
      </c>
      <c r="C6" s="7" t="s">
        <v>3</v>
      </c>
      <c r="D6" s="7" t="s">
        <v>168</v>
      </c>
    </row>
    <row r="7" spans="1:13" x14ac:dyDescent="0.3">
      <c r="A7">
        <v>1</v>
      </c>
      <c r="B7" s="40">
        <v>3504</v>
      </c>
      <c r="C7" s="55">
        <v>350</v>
      </c>
      <c r="D7" t="s">
        <v>164</v>
      </c>
      <c r="E7" t="s">
        <v>4</v>
      </c>
      <c r="F7" s="21">
        <v>474</v>
      </c>
      <c r="H7" t="s">
        <v>7</v>
      </c>
      <c r="I7" s="12">
        <f>DETALLE!F126</f>
        <v>6954</v>
      </c>
      <c r="K7" t="s">
        <v>10</v>
      </c>
      <c r="L7" s="21">
        <v>3500</v>
      </c>
    </row>
    <row r="8" spans="1:13" x14ac:dyDescent="0.3">
      <c r="A8">
        <v>2</v>
      </c>
      <c r="B8" s="40">
        <v>7474</v>
      </c>
      <c r="C8" s="55">
        <v>350</v>
      </c>
      <c r="D8" t="s">
        <v>164</v>
      </c>
      <c r="E8" s="4" t="s">
        <v>5</v>
      </c>
      <c r="F8" s="10">
        <f>C42-F7</f>
        <v>3756</v>
      </c>
      <c r="H8" s="4" t="s">
        <v>8</v>
      </c>
      <c r="I8" s="10">
        <f>F8</f>
        <v>3756</v>
      </c>
      <c r="K8" s="4" t="s">
        <v>9</v>
      </c>
      <c r="L8" s="10">
        <f>I9</f>
        <v>3198</v>
      </c>
    </row>
    <row r="9" spans="1:13" x14ac:dyDescent="0.3">
      <c r="A9">
        <v>3</v>
      </c>
      <c r="B9" s="40">
        <v>3788</v>
      </c>
      <c r="C9" s="55">
        <v>350</v>
      </c>
      <c r="D9" t="s">
        <v>164</v>
      </c>
      <c r="E9" s="15" t="s">
        <v>6</v>
      </c>
      <c r="F9" s="14">
        <f>F7</f>
        <v>474</v>
      </c>
      <c r="G9" s="3"/>
      <c r="H9" s="13" t="s">
        <v>9</v>
      </c>
      <c r="I9" s="14">
        <f>I7-I8</f>
        <v>3198</v>
      </c>
      <c r="J9" s="3"/>
      <c r="K9" s="15" t="s">
        <v>11</v>
      </c>
      <c r="L9" s="14">
        <f>+L7-L8</f>
        <v>302</v>
      </c>
    </row>
    <row r="10" spans="1:13" x14ac:dyDescent="0.3">
      <c r="A10">
        <v>4</v>
      </c>
      <c r="B10" s="40">
        <v>4027</v>
      </c>
      <c r="C10" s="55">
        <v>350</v>
      </c>
      <c r="D10" t="s">
        <v>164</v>
      </c>
    </row>
    <row r="11" spans="1:13" x14ac:dyDescent="0.3">
      <c r="A11">
        <v>5</v>
      </c>
      <c r="B11" s="40">
        <v>9172</v>
      </c>
      <c r="C11" s="55">
        <v>350</v>
      </c>
      <c r="D11" t="s">
        <v>164</v>
      </c>
      <c r="E11" s="19" t="s">
        <v>22</v>
      </c>
      <c r="F11" s="20">
        <f>F9+L9</f>
        <v>776</v>
      </c>
    </row>
    <row r="12" spans="1:13" x14ac:dyDescent="0.3">
      <c r="A12">
        <v>6</v>
      </c>
      <c r="B12" s="40">
        <v>9245</v>
      </c>
      <c r="C12" s="55">
        <v>350</v>
      </c>
      <c r="D12" t="s">
        <v>164</v>
      </c>
      <c r="E12" s="16"/>
      <c r="F12" s="17"/>
    </row>
    <row r="13" spans="1:13" x14ac:dyDescent="0.3">
      <c r="A13">
        <v>7</v>
      </c>
      <c r="B13" s="40">
        <v>9461</v>
      </c>
      <c r="C13" s="55">
        <v>350</v>
      </c>
      <c r="D13" t="s">
        <v>164</v>
      </c>
      <c r="E13" s="63" t="s">
        <v>12</v>
      </c>
      <c r="F13" s="63"/>
      <c r="G13" s="63"/>
      <c r="H13" s="63"/>
      <c r="I13" s="63"/>
      <c r="J13" s="63"/>
      <c r="K13" s="63"/>
      <c r="L13" s="63"/>
      <c r="M13" t="s">
        <v>29</v>
      </c>
    </row>
    <row r="14" spans="1:13" x14ac:dyDescent="0.3">
      <c r="A14">
        <v>8</v>
      </c>
      <c r="B14" s="40">
        <v>722</v>
      </c>
      <c r="C14" s="55">
        <v>100</v>
      </c>
    </row>
    <row r="15" spans="1:13" x14ac:dyDescent="0.3">
      <c r="A15">
        <v>9</v>
      </c>
      <c r="B15" s="40">
        <v>774</v>
      </c>
      <c r="C15" s="55">
        <v>100</v>
      </c>
      <c r="E15" t="s">
        <v>17</v>
      </c>
      <c r="F15" s="5">
        <v>0</v>
      </c>
      <c r="H15" t="s">
        <v>7</v>
      </c>
      <c r="I15" s="5">
        <v>0</v>
      </c>
      <c r="K15" t="s">
        <v>10</v>
      </c>
      <c r="L15" s="5">
        <v>0</v>
      </c>
    </row>
    <row r="16" spans="1:13" x14ac:dyDescent="0.3">
      <c r="A16">
        <v>10</v>
      </c>
      <c r="B16" s="40">
        <v>9443</v>
      </c>
      <c r="C16" s="55">
        <v>100</v>
      </c>
      <c r="E16" s="4" t="s">
        <v>14</v>
      </c>
      <c r="F16" s="10">
        <f>F15*0.3</f>
        <v>0</v>
      </c>
      <c r="H16" s="4" t="s">
        <v>18</v>
      </c>
      <c r="I16" s="10">
        <f>I15*0.3</f>
        <v>0</v>
      </c>
      <c r="K16" s="4" t="s">
        <v>9</v>
      </c>
      <c r="L16" s="10">
        <f>I17</f>
        <v>0</v>
      </c>
    </row>
    <row r="17" spans="1:12" x14ac:dyDescent="0.3">
      <c r="A17">
        <v>11</v>
      </c>
      <c r="B17" s="40">
        <v>7044</v>
      </c>
      <c r="C17" s="55">
        <v>100</v>
      </c>
      <c r="E17" s="13" t="s">
        <v>13</v>
      </c>
      <c r="F17" s="14">
        <f>F15-F16</f>
        <v>0</v>
      </c>
      <c r="G17" s="3"/>
      <c r="H17" s="13" t="s">
        <v>9</v>
      </c>
      <c r="I17" s="14">
        <f>I15-I16</f>
        <v>0</v>
      </c>
      <c r="K17" s="15" t="s">
        <v>11</v>
      </c>
      <c r="L17" s="14">
        <f>L15-L16</f>
        <v>0</v>
      </c>
    </row>
    <row r="18" spans="1:12" x14ac:dyDescent="0.3">
      <c r="A18">
        <v>12</v>
      </c>
      <c r="B18" s="40">
        <v>7045</v>
      </c>
      <c r="C18" s="55">
        <v>100</v>
      </c>
      <c r="E18" s="13" t="s">
        <v>16</v>
      </c>
      <c r="F18" s="14">
        <f>F16</f>
        <v>0</v>
      </c>
    </row>
    <row r="19" spans="1:12" x14ac:dyDescent="0.3">
      <c r="A19">
        <v>13</v>
      </c>
      <c r="B19" s="40">
        <v>7092</v>
      </c>
      <c r="C19" s="55">
        <v>100</v>
      </c>
      <c r="H19" t="s">
        <v>15</v>
      </c>
      <c r="I19" s="12">
        <f>F15-I15</f>
        <v>0</v>
      </c>
    </row>
    <row r="20" spans="1:12" x14ac:dyDescent="0.3">
      <c r="A20">
        <v>14</v>
      </c>
      <c r="B20" s="40">
        <v>529</v>
      </c>
      <c r="C20" s="55">
        <v>100</v>
      </c>
      <c r="H20" s="4" t="s">
        <v>21</v>
      </c>
      <c r="I20" s="10">
        <f>I19*0.3</f>
        <v>0</v>
      </c>
    </row>
    <row r="21" spans="1:12" x14ac:dyDescent="0.3">
      <c r="A21">
        <v>15</v>
      </c>
      <c r="B21" s="40">
        <v>7559</v>
      </c>
      <c r="C21" s="55">
        <v>100</v>
      </c>
      <c r="H21" s="15" t="s">
        <v>6</v>
      </c>
      <c r="I21" s="14">
        <f>I20</f>
        <v>0</v>
      </c>
    </row>
    <row r="22" spans="1:12" x14ac:dyDescent="0.3">
      <c r="A22">
        <v>16</v>
      </c>
      <c r="B22" s="40">
        <v>9120</v>
      </c>
      <c r="C22" s="55">
        <v>100</v>
      </c>
      <c r="H22" s="18" t="s">
        <v>19</v>
      </c>
      <c r="I22" s="14">
        <f>I13+I18</f>
        <v>0</v>
      </c>
      <c r="K22" s="5"/>
      <c r="L22"/>
    </row>
    <row r="23" spans="1:12" x14ac:dyDescent="0.3">
      <c r="A23">
        <v>17</v>
      </c>
      <c r="B23" s="40">
        <v>1594</v>
      </c>
      <c r="C23" s="55">
        <v>100</v>
      </c>
      <c r="I23" s="14">
        <f>F15-I22</f>
        <v>0</v>
      </c>
      <c r="K23" s="5"/>
      <c r="L23"/>
    </row>
    <row r="24" spans="1:12" x14ac:dyDescent="0.3">
      <c r="A24">
        <v>18</v>
      </c>
      <c r="B24" s="40">
        <v>2746</v>
      </c>
      <c r="C24" s="55">
        <v>100</v>
      </c>
      <c r="E24" s="19" t="s">
        <v>22</v>
      </c>
      <c r="F24" s="20">
        <f>I21+L17</f>
        <v>0</v>
      </c>
      <c r="H24" s="15"/>
      <c r="I24"/>
      <c r="K24" s="5"/>
      <c r="L24"/>
    </row>
    <row r="25" spans="1:12" x14ac:dyDescent="0.3">
      <c r="A25">
        <v>19</v>
      </c>
      <c r="B25" s="40">
        <v>3685</v>
      </c>
      <c r="C25" s="55">
        <v>100</v>
      </c>
      <c r="H25" s="15"/>
      <c r="I25"/>
      <c r="K25" s="5"/>
      <c r="L25"/>
    </row>
    <row r="26" spans="1:12" ht="15" thickBot="1" x14ac:dyDescent="0.35">
      <c r="A26">
        <v>20</v>
      </c>
      <c r="B26" s="40">
        <v>3767</v>
      </c>
      <c r="C26" s="55">
        <v>100</v>
      </c>
      <c r="H26" s="15"/>
      <c r="I26"/>
      <c r="K26" s="5"/>
      <c r="L26"/>
    </row>
    <row r="27" spans="1:12" ht="28.8" x14ac:dyDescent="0.3">
      <c r="A27">
        <v>21</v>
      </c>
      <c r="B27" s="44">
        <v>2736</v>
      </c>
      <c r="C27" s="56">
        <v>100</v>
      </c>
      <c r="E27" s="52" t="s">
        <v>23</v>
      </c>
      <c r="F27" s="53">
        <f>F11+F24</f>
        <v>776</v>
      </c>
      <c r="H27" s="15"/>
      <c r="I27"/>
      <c r="K27" s="5"/>
      <c r="L27"/>
    </row>
    <row r="28" spans="1:12" x14ac:dyDescent="0.3">
      <c r="A28">
        <v>22</v>
      </c>
      <c r="B28" s="40">
        <v>2849</v>
      </c>
      <c r="C28" s="55">
        <v>100</v>
      </c>
      <c r="H28" s="15"/>
      <c r="I28"/>
      <c r="K28" s="5"/>
      <c r="L28"/>
    </row>
    <row r="29" spans="1:12" x14ac:dyDescent="0.3">
      <c r="A29">
        <v>24</v>
      </c>
      <c r="B29" s="40">
        <v>3198</v>
      </c>
      <c r="C29" s="55">
        <v>100</v>
      </c>
      <c r="E29" t="s">
        <v>165</v>
      </c>
      <c r="F29" s="58">
        <f>'DEPOSITO A DIRECTO'!F53-'RESUMEN GENERAL'!F27</f>
        <v>0</v>
      </c>
      <c r="H29" s="15"/>
      <c r="I29"/>
      <c r="K29" s="5"/>
      <c r="L29"/>
    </row>
    <row r="30" spans="1:12" x14ac:dyDescent="0.3">
      <c r="A30">
        <v>25</v>
      </c>
      <c r="B30" s="40"/>
      <c r="C30" s="55"/>
      <c r="H30" s="15"/>
      <c r="I30"/>
      <c r="K30" s="5"/>
      <c r="L30"/>
    </row>
    <row r="31" spans="1:12" x14ac:dyDescent="0.3">
      <c r="A31" s="37">
        <v>26</v>
      </c>
      <c r="B31" s="40">
        <v>3996</v>
      </c>
      <c r="C31" s="55">
        <v>60</v>
      </c>
      <c r="H31" s="18"/>
      <c r="I31" s="22"/>
    </row>
    <row r="32" spans="1:12" x14ac:dyDescent="0.3">
      <c r="A32">
        <v>27</v>
      </c>
      <c r="B32" s="40">
        <v>3532</v>
      </c>
      <c r="C32" s="55">
        <v>60</v>
      </c>
      <c r="D32" s="54"/>
      <c r="I32" s="22"/>
    </row>
    <row r="33" spans="1:3" x14ac:dyDescent="0.3">
      <c r="A33">
        <v>28</v>
      </c>
      <c r="B33" s="40">
        <v>4087</v>
      </c>
      <c r="C33" s="55">
        <v>60</v>
      </c>
    </row>
    <row r="34" spans="1:3" x14ac:dyDescent="0.3">
      <c r="A34">
        <v>29</v>
      </c>
      <c r="B34" s="40"/>
      <c r="C34" s="55"/>
    </row>
    <row r="35" spans="1:3" x14ac:dyDescent="0.3">
      <c r="A35">
        <v>30</v>
      </c>
      <c r="B35" s="40"/>
      <c r="C35" s="55"/>
    </row>
    <row r="36" spans="1:3" x14ac:dyDescent="0.3">
      <c r="A36">
        <v>31</v>
      </c>
      <c r="B36" s="40"/>
      <c r="C36" s="55"/>
    </row>
    <row r="37" spans="1:3" x14ac:dyDescent="0.3">
      <c r="A37">
        <v>32</v>
      </c>
      <c r="C37" s="2"/>
    </row>
    <row r="38" spans="1:3" x14ac:dyDescent="0.3">
      <c r="A38">
        <v>33</v>
      </c>
      <c r="C38" s="2"/>
    </row>
    <row r="39" spans="1:3" x14ac:dyDescent="0.3">
      <c r="A39">
        <v>34</v>
      </c>
      <c r="C39" s="2"/>
    </row>
    <row r="40" spans="1:3" x14ac:dyDescent="0.3">
      <c r="A40">
        <v>35</v>
      </c>
      <c r="C40" s="2"/>
    </row>
    <row r="41" spans="1:3" x14ac:dyDescent="0.3">
      <c r="A41">
        <v>35</v>
      </c>
    </row>
    <row r="42" spans="1:3" x14ac:dyDescent="0.3">
      <c r="C42" s="11">
        <f>SUM(C7:C41)</f>
        <v>4230</v>
      </c>
    </row>
  </sheetData>
  <mergeCells count="4">
    <mergeCell ref="A2:D2"/>
    <mergeCell ref="E5:L5"/>
    <mergeCell ref="E13:L13"/>
    <mergeCell ref="E2:L3"/>
  </mergeCells>
  <phoneticPr fontId="7" type="noConversion"/>
  <conditionalFormatting sqref="B7">
    <cfRule type="duplicateValues" dxfId="6" priority="1"/>
  </conditionalFormatting>
  <conditionalFormatting sqref="B8">
    <cfRule type="duplicateValues" dxfId="5" priority="2"/>
  </conditionalFormatting>
  <conditionalFormatting sqref="B9:B10">
    <cfRule type="duplicateValues" dxfId="4" priority="3"/>
  </conditionalFormatting>
  <conditionalFormatting sqref="B11:B13">
    <cfRule type="duplicateValues" dxfId="3" priority="4"/>
  </conditionalFormatting>
  <conditionalFormatting sqref="B14:B30">
    <cfRule type="duplicateValues" dxfId="2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9E68-3F94-4E38-BC6B-5D8F6D560667}">
  <dimension ref="A1:H53"/>
  <sheetViews>
    <sheetView showGridLines="0" workbookViewId="0">
      <selection activeCell="G9" sqref="G9:H9"/>
    </sheetView>
  </sheetViews>
  <sheetFormatPr baseColWidth="10" defaultRowHeight="14.4" x14ac:dyDescent="0.3"/>
  <cols>
    <col min="3" max="3" width="19.109375" customWidth="1"/>
  </cols>
  <sheetData>
    <row r="1" spans="1:8" ht="21" x14ac:dyDescent="0.4">
      <c r="A1" s="1"/>
      <c r="B1" s="70"/>
      <c r="C1" s="70"/>
      <c r="D1" s="70"/>
      <c r="E1" s="70"/>
      <c r="F1" s="70"/>
    </row>
    <row r="2" spans="1:8" x14ac:dyDescent="0.3">
      <c r="A2" s="1" t="s">
        <v>33</v>
      </c>
      <c r="B2" s="39" t="s">
        <v>34</v>
      </c>
      <c r="C2" s="39" t="s">
        <v>35</v>
      </c>
      <c r="D2" s="39" t="s">
        <v>36</v>
      </c>
      <c r="E2" s="39" t="s">
        <v>37</v>
      </c>
      <c r="F2" s="39" t="s">
        <v>27</v>
      </c>
    </row>
    <row r="3" spans="1:8" x14ac:dyDescent="0.3">
      <c r="A3" s="1">
        <v>1</v>
      </c>
      <c r="B3" s="40">
        <v>9245</v>
      </c>
      <c r="C3" s="40" t="s">
        <v>39</v>
      </c>
      <c r="D3" s="40" t="s">
        <v>38</v>
      </c>
      <c r="E3" s="41" t="s">
        <v>157</v>
      </c>
      <c r="F3" s="42">
        <v>180</v>
      </c>
    </row>
    <row r="4" spans="1:8" x14ac:dyDescent="0.3">
      <c r="A4" s="1">
        <v>2</v>
      </c>
      <c r="B4" s="40">
        <v>3504</v>
      </c>
      <c r="C4" s="40" t="s">
        <v>39</v>
      </c>
      <c r="D4" s="40" t="s">
        <v>40</v>
      </c>
      <c r="E4" s="41" t="s">
        <v>162</v>
      </c>
      <c r="F4" s="42">
        <v>65</v>
      </c>
    </row>
    <row r="5" spans="1:8" x14ac:dyDescent="0.3">
      <c r="A5" s="1">
        <v>3</v>
      </c>
      <c r="B5" s="40">
        <v>7559</v>
      </c>
      <c r="C5" s="40" t="s">
        <v>39</v>
      </c>
      <c r="D5" s="40" t="s">
        <v>38</v>
      </c>
      <c r="E5" s="41" t="s">
        <v>158</v>
      </c>
      <c r="F5" s="42">
        <v>55</v>
      </c>
    </row>
    <row r="6" spans="1:8" x14ac:dyDescent="0.3">
      <c r="A6" s="1">
        <v>4</v>
      </c>
      <c r="B6" s="40">
        <v>2736</v>
      </c>
      <c r="C6" s="40" t="s">
        <v>39</v>
      </c>
      <c r="D6" s="40" t="s">
        <v>38</v>
      </c>
      <c r="E6" s="41" t="s">
        <v>159</v>
      </c>
      <c r="F6" s="42">
        <v>5</v>
      </c>
    </row>
    <row r="7" spans="1:8" x14ac:dyDescent="0.3">
      <c r="A7" s="1">
        <v>5</v>
      </c>
      <c r="B7" s="40">
        <v>7092</v>
      </c>
      <c r="C7" s="40" t="s">
        <v>39</v>
      </c>
      <c r="D7" s="40" t="s">
        <v>38</v>
      </c>
      <c r="E7" s="41" t="s">
        <v>160</v>
      </c>
      <c r="F7" s="42">
        <v>69</v>
      </c>
    </row>
    <row r="8" spans="1:8" x14ac:dyDescent="0.3">
      <c r="A8" s="1">
        <v>6</v>
      </c>
      <c r="B8" s="40">
        <v>9461</v>
      </c>
      <c r="C8" s="40" t="s">
        <v>39</v>
      </c>
      <c r="D8" s="40" t="s">
        <v>38</v>
      </c>
      <c r="E8" s="41" t="s">
        <v>161</v>
      </c>
      <c r="F8" s="42">
        <v>100</v>
      </c>
    </row>
    <row r="9" spans="1:8" x14ac:dyDescent="0.3">
      <c r="A9" s="1">
        <v>7</v>
      </c>
      <c r="B9" s="40"/>
      <c r="C9" s="40" t="s">
        <v>39</v>
      </c>
      <c r="D9" s="40" t="s">
        <v>38</v>
      </c>
      <c r="E9" s="41" t="s">
        <v>166</v>
      </c>
      <c r="F9" s="42">
        <v>302</v>
      </c>
      <c r="G9" s="37" t="s">
        <v>167</v>
      </c>
      <c r="H9" s="37"/>
    </row>
    <row r="10" spans="1:8" x14ac:dyDescent="0.3">
      <c r="A10" s="1">
        <v>8</v>
      </c>
      <c r="B10" s="40"/>
      <c r="C10" s="40"/>
      <c r="D10" s="40"/>
      <c r="E10" s="41"/>
      <c r="F10" s="42"/>
    </row>
    <row r="11" spans="1:8" x14ac:dyDescent="0.3">
      <c r="A11" s="1">
        <v>9</v>
      </c>
      <c r="B11" s="40"/>
      <c r="C11" s="40"/>
      <c r="D11" s="40"/>
      <c r="E11" s="41"/>
      <c r="F11" s="42"/>
    </row>
    <row r="12" spans="1:8" x14ac:dyDescent="0.3">
      <c r="A12" s="1">
        <v>10</v>
      </c>
      <c r="B12" s="40"/>
      <c r="C12" s="40"/>
      <c r="D12" s="40"/>
      <c r="E12" s="41"/>
      <c r="F12" s="42"/>
    </row>
    <row r="13" spans="1:8" x14ac:dyDescent="0.3">
      <c r="A13" s="1">
        <v>11</v>
      </c>
      <c r="B13" s="40"/>
      <c r="C13" s="40"/>
      <c r="D13" s="40"/>
      <c r="E13" s="41"/>
      <c r="F13" s="42"/>
    </row>
    <row r="14" spans="1:8" x14ac:dyDescent="0.3">
      <c r="A14" s="1">
        <v>12</v>
      </c>
      <c r="B14" s="40"/>
      <c r="C14" s="40"/>
      <c r="D14" s="40"/>
      <c r="E14" s="41"/>
      <c r="F14" s="43"/>
    </row>
    <row r="15" spans="1:8" x14ac:dyDescent="0.3">
      <c r="A15" s="1">
        <v>13</v>
      </c>
      <c r="B15" s="40"/>
      <c r="C15" s="40"/>
      <c r="D15" s="40"/>
      <c r="E15" s="41"/>
      <c r="F15" s="42"/>
    </row>
    <row r="16" spans="1:8" x14ac:dyDescent="0.3">
      <c r="A16" s="1">
        <v>14</v>
      </c>
      <c r="B16" s="40"/>
      <c r="C16" s="40"/>
      <c r="D16" s="40"/>
      <c r="E16" s="41"/>
      <c r="F16" s="42"/>
    </row>
    <row r="17" spans="1:6" x14ac:dyDescent="0.3">
      <c r="A17" s="1">
        <v>15</v>
      </c>
      <c r="B17" s="40"/>
      <c r="C17" s="40"/>
      <c r="D17" s="40"/>
      <c r="E17" s="41"/>
      <c r="F17" s="42"/>
    </row>
    <row r="18" spans="1:6" x14ac:dyDescent="0.3">
      <c r="A18" s="1">
        <v>16</v>
      </c>
      <c r="B18" s="40"/>
      <c r="C18" s="40"/>
      <c r="D18" s="40"/>
      <c r="E18" s="41"/>
      <c r="F18" s="42"/>
    </row>
    <row r="19" spans="1:6" x14ac:dyDescent="0.3">
      <c r="A19" s="1">
        <v>17</v>
      </c>
      <c r="B19" s="40"/>
      <c r="C19" s="40"/>
      <c r="D19" s="40"/>
      <c r="E19" s="41"/>
      <c r="F19" s="42"/>
    </row>
    <row r="20" spans="1:6" x14ac:dyDescent="0.3">
      <c r="A20" s="1">
        <v>18</v>
      </c>
      <c r="B20" s="40"/>
      <c r="C20" s="40"/>
      <c r="D20" s="40"/>
      <c r="E20" s="41"/>
      <c r="F20" s="42"/>
    </row>
    <row r="21" spans="1:6" x14ac:dyDescent="0.3">
      <c r="A21" s="1">
        <v>19</v>
      </c>
      <c r="B21" s="40"/>
      <c r="C21" s="40"/>
      <c r="D21" s="40"/>
      <c r="E21" s="41"/>
      <c r="F21" s="42"/>
    </row>
    <row r="22" spans="1:6" x14ac:dyDescent="0.3">
      <c r="A22" s="1">
        <v>20</v>
      </c>
      <c r="B22" s="40"/>
      <c r="C22" s="40"/>
      <c r="D22" s="40"/>
      <c r="E22" s="41"/>
      <c r="F22" s="42"/>
    </row>
    <row r="23" spans="1:6" x14ac:dyDescent="0.3">
      <c r="A23" s="1">
        <v>21</v>
      </c>
      <c r="B23" s="40"/>
      <c r="C23" s="40"/>
      <c r="D23" s="40"/>
      <c r="E23" s="41"/>
      <c r="F23" s="42"/>
    </row>
    <row r="24" spans="1:6" x14ac:dyDescent="0.3">
      <c r="A24" s="1">
        <v>22</v>
      </c>
      <c r="B24" s="40"/>
      <c r="C24" s="40"/>
      <c r="D24" s="40"/>
      <c r="E24" s="41"/>
      <c r="F24" s="42"/>
    </row>
    <row r="25" spans="1:6" x14ac:dyDescent="0.3">
      <c r="A25" s="1">
        <v>23</v>
      </c>
      <c r="B25" s="44"/>
      <c r="C25" s="44"/>
      <c r="D25" s="44"/>
      <c r="E25" s="45"/>
      <c r="F25" s="46"/>
    </row>
    <row r="26" spans="1:6" x14ac:dyDescent="0.3">
      <c r="A26" s="1">
        <v>24</v>
      </c>
      <c r="B26" s="40"/>
      <c r="C26" s="40"/>
      <c r="D26" s="40"/>
      <c r="E26" s="41"/>
      <c r="F26" s="42"/>
    </row>
    <row r="27" spans="1:6" x14ac:dyDescent="0.3">
      <c r="A27" s="1">
        <v>25</v>
      </c>
      <c r="B27" s="40"/>
      <c r="C27" s="40"/>
      <c r="D27" s="40"/>
      <c r="E27" s="41"/>
      <c r="F27" s="42"/>
    </row>
    <row r="28" spans="1:6" x14ac:dyDescent="0.3">
      <c r="A28" s="1">
        <v>26</v>
      </c>
      <c r="B28" s="40"/>
      <c r="C28" s="40"/>
      <c r="D28" s="40"/>
      <c r="E28" s="41"/>
      <c r="F28" s="42"/>
    </row>
    <row r="29" spans="1:6" x14ac:dyDescent="0.3">
      <c r="A29" s="1">
        <v>27</v>
      </c>
      <c r="B29" s="40"/>
      <c r="C29" s="40"/>
      <c r="D29" s="40"/>
      <c r="E29" s="41"/>
      <c r="F29" s="42"/>
    </row>
    <row r="30" spans="1:6" x14ac:dyDescent="0.3">
      <c r="A30" s="1">
        <v>28</v>
      </c>
      <c r="B30" s="40"/>
      <c r="C30" s="40"/>
      <c r="D30" s="40"/>
      <c r="E30" s="41"/>
      <c r="F30" s="42"/>
    </row>
    <row r="31" spans="1:6" x14ac:dyDescent="0.3">
      <c r="A31" s="1">
        <v>29</v>
      </c>
      <c r="B31" s="40"/>
      <c r="C31" s="40"/>
      <c r="D31" s="40"/>
      <c r="E31" s="41"/>
      <c r="F31" s="42"/>
    </row>
    <row r="32" spans="1:6" x14ac:dyDescent="0.3">
      <c r="A32" s="1">
        <v>30</v>
      </c>
      <c r="B32" s="40"/>
      <c r="C32" s="40"/>
      <c r="D32" s="40"/>
      <c r="E32" s="41"/>
      <c r="F32" s="42"/>
    </row>
    <row r="33" spans="1:6" x14ac:dyDescent="0.3">
      <c r="A33" s="1">
        <v>31</v>
      </c>
      <c r="B33" s="40"/>
      <c r="C33" s="40"/>
      <c r="D33" s="40"/>
      <c r="E33" s="41"/>
      <c r="F33" s="42"/>
    </row>
    <row r="34" spans="1:6" x14ac:dyDescent="0.3">
      <c r="A34" s="1">
        <v>32</v>
      </c>
      <c r="B34" s="40"/>
      <c r="C34" s="40"/>
      <c r="D34" s="40"/>
      <c r="E34" s="41"/>
      <c r="F34" s="42"/>
    </row>
    <row r="35" spans="1:6" x14ac:dyDescent="0.3">
      <c r="A35" s="1">
        <v>33</v>
      </c>
      <c r="B35" s="40"/>
      <c r="C35" s="40"/>
      <c r="D35" s="40"/>
      <c r="E35" s="41"/>
      <c r="F35" s="42"/>
    </row>
    <row r="36" spans="1:6" x14ac:dyDescent="0.3">
      <c r="A36" s="1">
        <v>34</v>
      </c>
      <c r="B36" s="40"/>
      <c r="C36" s="40"/>
      <c r="D36" s="40"/>
      <c r="E36" s="41"/>
      <c r="F36" s="42"/>
    </row>
    <row r="37" spans="1:6" x14ac:dyDescent="0.3">
      <c r="A37" s="1">
        <v>35</v>
      </c>
      <c r="B37" s="40"/>
      <c r="C37" s="40"/>
      <c r="D37" s="40"/>
      <c r="E37" s="41"/>
      <c r="F37" s="42"/>
    </row>
    <row r="38" spans="1:6" x14ac:dyDescent="0.3">
      <c r="A38" s="1">
        <v>36</v>
      </c>
      <c r="B38" s="40"/>
      <c r="C38" s="40"/>
      <c r="D38" s="40"/>
      <c r="E38" s="41"/>
      <c r="F38" s="42"/>
    </row>
    <row r="39" spans="1:6" x14ac:dyDescent="0.3">
      <c r="A39" s="1">
        <v>37</v>
      </c>
      <c r="B39" s="40"/>
      <c r="C39" s="40"/>
      <c r="D39" s="40"/>
      <c r="E39" s="41"/>
      <c r="F39" s="42"/>
    </row>
    <row r="40" spans="1:6" x14ac:dyDescent="0.3">
      <c r="A40" s="1">
        <v>38</v>
      </c>
      <c r="B40" s="40"/>
      <c r="C40" s="40"/>
      <c r="D40" s="40"/>
      <c r="E40" s="41"/>
      <c r="F40" s="42"/>
    </row>
    <row r="41" spans="1:6" x14ac:dyDescent="0.3">
      <c r="A41" s="1">
        <v>39</v>
      </c>
      <c r="B41" s="40"/>
      <c r="C41" s="40"/>
      <c r="D41" s="40"/>
      <c r="E41" s="41"/>
      <c r="F41" s="42"/>
    </row>
    <row r="42" spans="1:6" x14ac:dyDescent="0.3">
      <c r="A42" s="1">
        <v>40</v>
      </c>
      <c r="B42" s="40"/>
      <c r="C42" s="40"/>
      <c r="D42" s="40"/>
      <c r="E42" s="41"/>
      <c r="F42" s="42"/>
    </row>
    <row r="43" spans="1:6" x14ac:dyDescent="0.3">
      <c r="A43" s="1">
        <v>41</v>
      </c>
      <c r="B43" s="40"/>
      <c r="C43" s="40"/>
      <c r="D43" s="40"/>
      <c r="E43" s="41"/>
      <c r="F43" s="42"/>
    </row>
    <row r="44" spans="1:6" x14ac:dyDescent="0.3">
      <c r="A44" s="1">
        <v>42</v>
      </c>
      <c r="B44" s="40"/>
      <c r="C44" s="40"/>
      <c r="D44" s="40"/>
      <c r="E44" s="41"/>
      <c r="F44" s="42"/>
    </row>
    <row r="45" spans="1:6" x14ac:dyDescent="0.3">
      <c r="A45" s="1">
        <v>43</v>
      </c>
      <c r="B45" s="40"/>
      <c r="C45" s="40"/>
      <c r="D45" s="40"/>
      <c r="E45" s="41"/>
      <c r="F45" s="42"/>
    </row>
    <row r="46" spans="1:6" x14ac:dyDescent="0.3">
      <c r="A46" s="1">
        <v>44</v>
      </c>
      <c r="B46" s="40"/>
      <c r="C46" s="40"/>
      <c r="D46" s="40"/>
      <c r="E46" s="41"/>
      <c r="F46" s="42"/>
    </row>
    <row r="47" spans="1:6" x14ac:dyDescent="0.3">
      <c r="A47" s="1">
        <v>45</v>
      </c>
      <c r="B47" s="40"/>
      <c r="C47" s="40"/>
      <c r="D47" s="40"/>
      <c r="E47" s="41"/>
      <c r="F47" s="42"/>
    </row>
    <row r="48" spans="1:6" x14ac:dyDescent="0.3">
      <c r="A48" s="1">
        <v>46</v>
      </c>
      <c r="B48" s="40"/>
      <c r="C48" s="40"/>
      <c r="D48" s="40"/>
      <c r="E48" s="41"/>
      <c r="F48" s="42"/>
    </row>
    <row r="49" spans="1:6" x14ac:dyDescent="0.3">
      <c r="A49" s="1">
        <v>47</v>
      </c>
      <c r="B49" s="40"/>
      <c r="C49" s="40"/>
      <c r="D49" s="40"/>
      <c r="E49" s="41"/>
      <c r="F49" s="42"/>
    </row>
    <row r="50" spans="1:6" x14ac:dyDescent="0.3">
      <c r="A50" s="1">
        <v>48</v>
      </c>
      <c r="B50" s="40"/>
      <c r="C50" s="40"/>
      <c r="D50" s="40"/>
      <c r="E50" s="41"/>
      <c r="F50" s="42"/>
    </row>
    <row r="51" spans="1:6" x14ac:dyDescent="0.3">
      <c r="A51" s="1">
        <v>49</v>
      </c>
      <c r="B51" s="40"/>
      <c r="C51" s="40"/>
      <c r="D51" s="40"/>
      <c r="E51" s="41"/>
      <c r="F51" s="42"/>
    </row>
    <row r="52" spans="1:6" x14ac:dyDescent="0.3">
      <c r="A52" s="1">
        <v>50</v>
      </c>
      <c r="B52" s="40"/>
      <c r="C52" s="40"/>
      <c r="D52" s="40"/>
      <c r="E52" s="41"/>
      <c r="F52" s="42"/>
    </row>
    <row r="53" spans="1:6" x14ac:dyDescent="0.3">
      <c r="E53" t="s">
        <v>28</v>
      </c>
      <c r="F53" s="57">
        <f>SUM(F3:F52)</f>
        <v>776</v>
      </c>
    </row>
  </sheetData>
  <mergeCells count="1">
    <mergeCell ref="B1:F1"/>
  </mergeCells>
  <phoneticPr fontId="7" type="noConversion"/>
  <conditionalFormatting sqref="B3:B52">
    <cfRule type="duplicateValues" dxfId="1" priority="2"/>
  </conditionalFormatting>
  <conditionalFormatting sqref="E3:E5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DD2B-8E9D-44F2-BDFD-87BF6E156B7A}">
  <dimension ref="A1:L29"/>
  <sheetViews>
    <sheetView topLeftCell="A18" workbookViewId="0">
      <selection activeCell="A2" sqref="A2:F29"/>
    </sheetView>
  </sheetViews>
  <sheetFormatPr baseColWidth="10" defaultRowHeight="14.4" x14ac:dyDescent="0.3"/>
  <cols>
    <col min="6" max="6" width="54" customWidth="1"/>
    <col min="12" max="12" width="37.109375" customWidth="1"/>
  </cols>
  <sheetData>
    <row r="1" spans="1:12" ht="15" thickBot="1" x14ac:dyDescent="0.35">
      <c r="A1" s="71">
        <v>46032</v>
      </c>
      <c r="B1" s="72"/>
      <c r="C1" s="72"/>
      <c r="D1" s="72"/>
      <c r="E1" s="72"/>
      <c r="F1" s="73"/>
      <c r="G1" s="74">
        <v>46033</v>
      </c>
      <c r="H1" s="75"/>
      <c r="I1" s="75"/>
      <c r="J1" s="75"/>
      <c r="K1" s="75"/>
      <c r="L1" s="76"/>
    </row>
    <row r="2" spans="1:12" x14ac:dyDescent="0.3">
      <c r="A2" s="77"/>
      <c r="B2" s="78"/>
      <c r="C2" s="78"/>
      <c r="D2" s="78"/>
      <c r="E2" s="78"/>
      <c r="F2" s="79"/>
      <c r="G2" s="47"/>
      <c r="L2" s="48"/>
    </row>
    <row r="3" spans="1:12" x14ac:dyDescent="0.3">
      <c r="A3" s="80"/>
      <c r="B3" s="81"/>
      <c r="C3" s="81"/>
      <c r="D3" s="81"/>
      <c r="E3" s="81"/>
      <c r="F3" s="82"/>
      <c r="G3" s="47"/>
      <c r="L3" s="48"/>
    </row>
    <row r="4" spans="1:12" x14ac:dyDescent="0.3">
      <c r="A4" s="80"/>
      <c r="B4" s="81"/>
      <c r="C4" s="81"/>
      <c r="D4" s="81"/>
      <c r="E4" s="81"/>
      <c r="F4" s="82"/>
      <c r="G4" s="47"/>
      <c r="L4" s="48"/>
    </row>
    <row r="5" spans="1:12" x14ac:dyDescent="0.3">
      <c r="A5" s="80"/>
      <c r="B5" s="81"/>
      <c r="C5" s="81"/>
      <c r="D5" s="81"/>
      <c r="E5" s="81"/>
      <c r="F5" s="82"/>
      <c r="G5" s="47"/>
      <c r="L5" s="48"/>
    </row>
    <row r="6" spans="1:12" x14ac:dyDescent="0.3">
      <c r="A6" s="80"/>
      <c r="B6" s="81"/>
      <c r="C6" s="81"/>
      <c r="D6" s="81"/>
      <c r="E6" s="81"/>
      <c r="F6" s="82"/>
      <c r="G6" s="47"/>
      <c r="L6" s="48"/>
    </row>
    <row r="7" spans="1:12" x14ac:dyDescent="0.3">
      <c r="A7" s="80"/>
      <c r="B7" s="81"/>
      <c r="C7" s="81"/>
      <c r="D7" s="81"/>
      <c r="E7" s="81"/>
      <c r="F7" s="82"/>
      <c r="G7" s="47"/>
      <c r="L7" s="48"/>
    </row>
    <row r="8" spans="1:12" x14ac:dyDescent="0.3">
      <c r="A8" s="80"/>
      <c r="B8" s="81"/>
      <c r="C8" s="81"/>
      <c r="D8" s="81"/>
      <c r="E8" s="81"/>
      <c r="F8" s="82"/>
      <c r="G8" s="47"/>
      <c r="L8" s="48"/>
    </row>
    <row r="9" spans="1:12" x14ac:dyDescent="0.3">
      <c r="A9" s="80"/>
      <c r="B9" s="81"/>
      <c r="C9" s="81"/>
      <c r="D9" s="81"/>
      <c r="E9" s="81"/>
      <c r="F9" s="82"/>
      <c r="G9" s="47"/>
      <c r="L9" s="48"/>
    </row>
    <row r="10" spans="1:12" x14ac:dyDescent="0.3">
      <c r="A10" s="80"/>
      <c r="B10" s="81"/>
      <c r="C10" s="81"/>
      <c r="D10" s="81"/>
      <c r="E10" s="81"/>
      <c r="F10" s="82"/>
      <c r="G10" s="47"/>
      <c r="L10" s="48"/>
    </row>
    <row r="11" spans="1:12" x14ac:dyDescent="0.3">
      <c r="A11" s="80"/>
      <c r="B11" s="81"/>
      <c r="C11" s="81"/>
      <c r="D11" s="81"/>
      <c r="E11" s="81"/>
      <c r="F11" s="82"/>
      <c r="L11" s="48"/>
    </row>
    <row r="12" spans="1:12" x14ac:dyDescent="0.3">
      <c r="A12" s="80"/>
      <c r="B12" s="81"/>
      <c r="C12" s="81"/>
      <c r="D12" s="81"/>
      <c r="E12" s="81"/>
      <c r="F12" s="82"/>
      <c r="L12" s="48"/>
    </row>
    <row r="13" spans="1:12" x14ac:dyDescent="0.3">
      <c r="A13" s="80"/>
      <c r="B13" s="81"/>
      <c r="C13" s="81"/>
      <c r="D13" s="81"/>
      <c r="E13" s="81"/>
      <c r="F13" s="82"/>
      <c r="G13" s="47"/>
      <c r="L13" s="48"/>
    </row>
    <row r="14" spans="1:12" x14ac:dyDescent="0.3">
      <c r="A14" s="80"/>
      <c r="B14" s="81"/>
      <c r="C14" s="81"/>
      <c r="D14" s="81"/>
      <c r="E14" s="81"/>
      <c r="F14" s="82"/>
      <c r="G14" s="47"/>
      <c r="L14" s="48"/>
    </row>
    <row r="15" spans="1:12" x14ac:dyDescent="0.3">
      <c r="A15" s="80"/>
      <c r="B15" s="81"/>
      <c r="C15" s="81"/>
      <c r="D15" s="81"/>
      <c r="E15" s="81"/>
      <c r="F15" s="82"/>
      <c r="G15" s="47"/>
      <c r="L15" s="48"/>
    </row>
    <row r="16" spans="1:12" x14ac:dyDescent="0.3">
      <c r="A16" s="80"/>
      <c r="B16" s="81"/>
      <c r="C16" s="81"/>
      <c r="D16" s="81"/>
      <c r="E16" s="81"/>
      <c r="F16" s="82"/>
      <c r="L16" s="48"/>
    </row>
    <row r="17" spans="1:12" x14ac:dyDescent="0.3">
      <c r="A17" s="80"/>
      <c r="B17" s="81"/>
      <c r="C17" s="81"/>
      <c r="D17" s="81"/>
      <c r="E17" s="81"/>
      <c r="F17" s="82"/>
      <c r="G17" s="47"/>
      <c r="L17" s="48"/>
    </row>
    <row r="18" spans="1:12" x14ac:dyDescent="0.3">
      <c r="A18" s="80"/>
      <c r="B18" s="81"/>
      <c r="C18" s="81"/>
      <c r="D18" s="81"/>
      <c r="E18" s="81"/>
      <c r="F18" s="82"/>
      <c r="G18" s="47"/>
      <c r="L18" s="48"/>
    </row>
    <row r="19" spans="1:12" x14ac:dyDescent="0.3">
      <c r="A19" s="80"/>
      <c r="B19" s="81"/>
      <c r="C19" s="81"/>
      <c r="D19" s="81"/>
      <c r="E19" s="81"/>
      <c r="F19" s="82"/>
      <c r="G19" s="47"/>
      <c r="L19" s="48"/>
    </row>
    <row r="20" spans="1:12" x14ac:dyDescent="0.3">
      <c r="A20" s="80"/>
      <c r="B20" s="81"/>
      <c r="C20" s="81"/>
      <c r="D20" s="81"/>
      <c r="E20" s="81"/>
      <c r="F20" s="82"/>
      <c r="G20" s="47"/>
      <c r="L20" s="48"/>
    </row>
    <row r="21" spans="1:12" x14ac:dyDescent="0.3">
      <c r="A21" s="80"/>
      <c r="B21" s="81"/>
      <c r="C21" s="81"/>
      <c r="D21" s="81"/>
      <c r="E21" s="81"/>
      <c r="F21" s="82"/>
      <c r="G21" s="47"/>
      <c r="L21" s="48"/>
    </row>
    <row r="22" spans="1:12" x14ac:dyDescent="0.3">
      <c r="A22" s="80"/>
      <c r="B22" s="81"/>
      <c r="C22" s="81"/>
      <c r="D22" s="81"/>
      <c r="E22" s="81"/>
      <c r="F22" s="82"/>
      <c r="G22" s="47"/>
      <c r="L22" s="48"/>
    </row>
    <row r="23" spans="1:12" x14ac:dyDescent="0.3">
      <c r="A23" s="80"/>
      <c r="B23" s="81"/>
      <c r="C23" s="81"/>
      <c r="D23" s="81"/>
      <c r="E23" s="81"/>
      <c r="F23" s="82"/>
      <c r="G23" s="47"/>
      <c r="L23" s="48"/>
    </row>
    <row r="24" spans="1:12" x14ac:dyDescent="0.3">
      <c r="A24" s="80"/>
      <c r="B24" s="81"/>
      <c r="C24" s="81"/>
      <c r="D24" s="81"/>
      <c r="E24" s="81"/>
      <c r="F24" s="82"/>
      <c r="G24" s="47"/>
      <c r="L24" s="48"/>
    </row>
    <row r="25" spans="1:12" x14ac:dyDescent="0.3">
      <c r="A25" s="80"/>
      <c r="B25" s="81"/>
      <c r="C25" s="81"/>
      <c r="D25" s="81"/>
      <c r="E25" s="81"/>
      <c r="F25" s="82"/>
      <c r="G25" s="47"/>
      <c r="L25" s="48"/>
    </row>
    <row r="26" spans="1:12" x14ac:dyDescent="0.3">
      <c r="A26" s="80"/>
      <c r="B26" s="81"/>
      <c r="C26" s="81"/>
      <c r="D26" s="81"/>
      <c r="E26" s="81"/>
      <c r="F26" s="82"/>
      <c r="G26" s="47"/>
      <c r="L26" s="48"/>
    </row>
    <row r="27" spans="1:12" x14ac:dyDescent="0.3">
      <c r="A27" s="80"/>
      <c r="B27" s="81"/>
      <c r="C27" s="81"/>
      <c r="D27" s="81"/>
      <c r="E27" s="81"/>
      <c r="F27" s="82"/>
      <c r="G27" s="47"/>
      <c r="L27" s="48"/>
    </row>
    <row r="28" spans="1:12" x14ac:dyDescent="0.3">
      <c r="A28" s="80"/>
      <c r="B28" s="81"/>
      <c r="C28" s="81"/>
      <c r="D28" s="81"/>
      <c r="E28" s="81"/>
      <c r="F28" s="82"/>
      <c r="G28" s="47"/>
      <c r="L28" s="48"/>
    </row>
    <row r="29" spans="1:12" ht="409.2" customHeight="1" thickBot="1" x14ac:dyDescent="0.35">
      <c r="A29" s="83"/>
      <c r="B29" s="84"/>
      <c r="C29" s="84"/>
      <c r="D29" s="84"/>
      <c r="E29" s="84"/>
      <c r="F29" s="85"/>
      <c r="G29" s="49"/>
      <c r="H29" s="50"/>
      <c r="I29" s="50"/>
      <c r="J29" s="50"/>
      <c r="K29" s="50"/>
      <c r="L29" s="51"/>
    </row>
  </sheetData>
  <mergeCells count="3">
    <mergeCell ref="A1:F1"/>
    <mergeCell ref="G1:L1"/>
    <mergeCell ref="A2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</vt:lpstr>
      <vt:lpstr>RESUMEN GENERAL</vt:lpstr>
      <vt:lpstr>DEPOSITO A DIRECTO</vt:lpstr>
      <vt:lpstr>CIERRE DE VISA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AGURTO</dc:creator>
  <cp:lastModifiedBy>FRANK NIETO</cp:lastModifiedBy>
  <cp:lastPrinted>2022-12-27T18:31:05Z</cp:lastPrinted>
  <dcterms:created xsi:type="dcterms:W3CDTF">2022-12-27T16:34:09Z</dcterms:created>
  <dcterms:modified xsi:type="dcterms:W3CDTF">2026-01-13T19:30:15Z</dcterms:modified>
</cp:coreProperties>
</file>