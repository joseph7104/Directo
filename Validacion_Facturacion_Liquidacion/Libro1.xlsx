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Scripts_automatización\Validacion_Facturacion_Liquidacion\"/>
    </mc:Choice>
  </mc:AlternateContent>
  <xr:revisionPtr revIDLastSave="0" documentId="13_ncr:1_{6789CE45-FAD0-45C6-86D3-2FF32B9BEA0A}" xr6:coauthVersionLast="47" xr6:coauthVersionMax="47" xr10:uidLastSave="{00000000-0000-0000-0000-000000000000}"/>
  <bookViews>
    <workbookView xWindow="-108" yWindow="-108" windowWidth="23256" windowHeight="12456" activeTab="1" xr2:uid="{66892A06-1B57-4E9C-90FD-902A6FFB4126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F2" i="3"/>
  <c r="E2" i="2"/>
  <c r="E3" i="2"/>
  <c r="E4" i="2"/>
  <c r="E5" i="2"/>
  <c r="E6" i="2"/>
  <c r="E7" i="2"/>
  <c r="C8" i="1"/>
</calcChain>
</file>

<file path=xl/sharedStrings.xml><?xml version="1.0" encoding="utf-8"?>
<sst xmlns="http://schemas.openxmlformats.org/spreadsheetml/2006/main" count="93" uniqueCount="34">
  <si>
    <t>DESTINO</t>
  </si>
  <si>
    <t>URBANO</t>
  </si>
  <si>
    <t>ORIGEN</t>
  </si>
  <si>
    <t>CORPORATIVO</t>
  </si>
  <si>
    <t>PARTICULAR</t>
  </si>
  <si>
    <t>UNIDAD</t>
  </si>
  <si>
    <t>Año</t>
  </si>
  <si>
    <t>Unidad de negocio</t>
  </si>
  <si>
    <t>Fuente</t>
  </si>
  <si>
    <t>Tipo de Servicio</t>
  </si>
  <si>
    <t>Nro Servicios</t>
  </si>
  <si>
    <t>AEROPUERTO</t>
  </si>
  <si>
    <t>KUSI</t>
  </si>
  <si>
    <t>WALLY</t>
  </si>
  <si>
    <t>WARI</t>
  </si>
  <si>
    <t>Origen</t>
  </si>
  <si>
    <t>Corporativo</t>
  </si>
  <si>
    <t>Particular</t>
  </si>
  <si>
    <t>ROUTING</t>
  </si>
  <si>
    <t>Tipo Cliente</t>
  </si>
  <si>
    <t>Cantidad</t>
  </si>
  <si>
    <t>Ingresos</t>
  </si>
  <si>
    <t>Ticket_Promedio</t>
  </si>
  <si>
    <t>P</t>
  </si>
  <si>
    <t>C</t>
  </si>
  <si>
    <t>UNIDAD DE NEGOCIO</t>
  </si>
  <si>
    <t>TIPO_RESERVA</t>
  </si>
  <si>
    <t>TIPO_DE_SERVICIO</t>
  </si>
  <si>
    <t>CANTIDAD_SERVICIO</t>
  </si>
  <si>
    <t>NULL</t>
  </si>
  <si>
    <t>APP</t>
  </si>
  <si>
    <t>BACKOFFICE</t>
  </si>
  <si>
    <t>COUNTER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</si>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</sst>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164" formatCode="&quot;S/&quot;\ #,##0.00"/>
    </dxf>
    <dxf>
      <numFmt numFmtId="164" formatCode="&quot;S/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68B9B7-BA56-4335-A178-F4204FCFE9A7}" name="Tabla2" displayName="Tabla2" ref="A1:E5" totalsRowShown="0">
  <autoFilter ref="A1:E5" xr:uid="{BC68B9B7-BA56-4335-A178-F4204FCFE9A7}"/>
  <tableColumns count="5">
    <tableColumn id="1" xr3:uid="{F68EE960-9B56-40DA-A63D-CF50333F3D50}" name="Año"/>
    <tableColumn id="2" xr3:uid="{E087222C-8B43-4220-B718-A1347CE81ACB}" name="Unidad de negocio"/>
    <tableColumn id="3" xr3:uid="{EF7EDE6E-1C41-4126-A19B-8F65168A2FE2}" name="Fuente"/>
    <tableColumn id="4" xr3:uid="{3B2F4B64-7A9F-4E4D-B21D-C668E2A002F0}" name="Tipo de Servicio"/>
    <tableColumn id="5" xr3:uid="{6CC43150-087D-47E5-90F5-AB4CF2C3C9E0}" name="Nro Servici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468B9A-980B-4800-AA40-AFE7857E7816}" name="Tabla3" displayName="Tabla3" ref="A1:E10" totalsRowShown="0">
  <autoFilter ref="A1:E10" xr:uid="{DF468B9A-980B-4800-AA40-AFE7857E7816}"/>
  <tableColumns count="5">
    <tableColumn id="1" xr3:uid="{52844D77-0BCE-40BA-855F-EA1E6825A6ED}" name="UNIDAD"/>
    <tableColumn id="2" xr3:uid="{4F10D8C1-D038-4E8F-96F6-8AF1EE758B0E}" name="Tipo Cliente"/>
    <tableColumn id="3" xr3:uid="{5FC46964-DF87-4E90-87BE-82C08B527600}" name="Ingresos" dataDxfId="1"/>
    <tableColumn id="4" xr3:uid="{5B648956-B6AF-40EC-8799-28285CF32E7D}" name="Cantidad"/>
    <tableColumn id="5" xr3:uid="{898C7E9D-E5E4-466D-B06A-397DB0754F59}" name="Ticket_Promedio" dataDxfId="0">
      <calculatedColumnFormula>Tabla3[[#This Row],[Ingresos]]/Tabla3[[#This Row],[Cantidad]]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2F772-7C16-40A5-9148-040C5531F01A}" name="Tabla1" displayName="Tabla1" ref="A1:D11" totalsRowShown="0">
  <autoFilter ref="A1:D11" xr:uid="{61C2F772-7C16-40A5-9148-040C5531F01A}"/>
  <tableColumns count="4">
    <tableColumn id="1" xr3:uid="{AF219F64-FEFB-4879-AA3A-979048900D7B}" name="UNIDAD DE NEGOCIO"/>
    <tableColumn id="2" xr3:uid="{E43D8D20-5B64-4466-A3A1-9F1AF0275B49}" name="TIPO_RESERVA"/>
    <tableColumn id="3" xr3:uid="{5B722FF6-0A47-4B21-A698-847195B00B75}" name="TIPO_DE_SERVICIO"/>
    <tableColumn id="4" xr3:uid="{9038E695-00C1-4C28-9A9A-3D40FDAB38F5}" name="CANTIDAD_SERVI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C0E7-AABE-46D4-AC49-DBF1CDDB13B4}">
  <dimension ref="A1:E9"/>
  <sheetViews>
    <sheetView zoomScale="205" zoomScaleNormal="205" workbookViewId="0">
      <selection activeCell="D9" sqref="D9"/>
    </sheetView>
  </sheetViews>
  <sheetFormatPr baseColWidth="10" defaultRowHeight="14.4" x14ac:dyDescent="0.3"/>
  <cols>
    <col min="2" max="2" width="17.109375" customWidth="1"/>
    <col min="3" max="3" width="15" bestFit="1" customWidth="1"/>
    <col min="4" max="4" width="14.77734375" customWidth="1"/>
    <col min="5" max="5" width="12.6640625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>
        <v>2025</v>
      </c>
      <c r="B2" t="s">
        <v>11</v>
      </c>
      <c r="C2" t="s">
        <v>12</v>
      </c>
      <c r="D2" t="s">
        <v>3</v>
      </c>
      <c r="E2">
        <v>81288</v>
      </c>
    </row>
    <row r="3" spans="1:5" x14ac:dyDescent="0.3">
      <c r="A3">
        <v>2025</v>
      </c>
      <c r="B3" t="s">
        <v>11</v>
      </c>
      <c r="C3" t="s">
        <v>13</v>
      </c>
      <c r="D3" t="s">
        <v>3</v>
      </c>
      <c r="E3">
        <v>99449</v>
      </c>
    </row>
    <row r="4" spans="1:5" x14ac:dyDescent="0.3">
      <c r="A4">
        <v>2025</v>
      </c>
      <c r="B4" t="s">
        <v>11</v>
      </c>
      <c r="C4" t="s">
        <v>14</v>
      </c>
      <c r="D4" t="s">
        <v>3</v>
      </c>
      <c r="E4">
        <v>108912</v>
      </c>
    </row>
    <row r="5" spans="1:5" x14ac:dyDescent="0.3">
      <c r="A5">
        <v>2025</v>
      </c>
      <c r="B5" t="s">
        <v>11</v>
      </c>
      <c r="C5" t="s">
        <v>14</v>
      </c>
      <c r="D5" t="s">
        <v>4</v>
      </c>
      <c r="E5">
        <v>59155</v>
      </c>
    </row>
    <row r="8" spans="1:5" x14ac:dyDescent="0.3">
      <c r="A8" t="s">
        <v>15</v>
      </c>
      <c r="B8" t="s">
        <v>16</v>
      </c>
      <c r="C8">
        <f>SUM(E3:E4)</f>
        <v>208361</v>
      </c>
    </row>
    <row r="9" spans="1:5" x14ac:dyDescent="0.3">
      <c r="A9" t="s">
        <v>15</v>
      </c>
      <c r="B9" t="s">
        <v>17</v>
      </c>
      <c r="C9" s="1">
        <v>59155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E675-AB16-41D7-83B5-248CAA464C8B}">
  <dimension ref="A1:XEM30"/>
  <sheetViews>
    <sheetView tabSelected="1" zoomScale="175" zoomScaleNormal="175" workbookViewId="0">
      <selection activeCell="F3" sqref="F3"/>
    </sheetView>
  </sheetViews>
  <sheetFormatPr baseColWidth="10" defaultRowHeight="14.4" x14ac:dyDescent="0.3"/>
  <cols>
    <col min="3" max="3" width="13.77734375" bestFit="1" customWidth="1"/>
    <col min="5" max="5" width="17.21875" bestFit="1" customWidth="1"/>
    <col min="16364" max="16364" width="13.6640625" customWidth="1"/>
    <col min="16365" max="16365" width="13.6640625" bestFit="1" customWidth="1"/>
  </cols>
  <sheetData>
    <row r="1" spans="1:7 16357:16357" x14ac:dyDescent="0.3">
      <c r="A1" t="s">
        <v>5</v>
      </c>
      <c r="B1" t="s">
        <v>19</v>
      </c>
      <c r="C1" s="2" t="s">
        <v>21</v>
      </c>
      <c r="D1" t="s">
        <v>20</v>
      </c>
      <c r="E1" t="s">
        <v>22</v>
      </c>
    </row>
    <row r="2" spans="1:7 16357:16357" x14ac:dyDescent="0.3">
      <c r="A2" t="s">
        <v>0</v>
      </c>
      <c r="B2" t="s">
        <v>3</v>
      </c>
      <c r="C2" s="2">
        <v>3295809</v>
      </c>
      <c r="D2">
        <v>51268</v>
      </c>
      <c r="E2" s="2">
        <f>Tabla3[[#This Row],[Ingresos]]/Tabla3[[#This Row],[Cantidad]]</f>
        <v>64.285889833814466</v>
      </c>
    </row>
    <row r="3" spans="1:7 16357:16357" x14ac:dyDescent="0.3">
      <c r="A3" t="s">
        <v>0</v>
      </c>
      <c r="B3" t="s">
        <v>4</v>
      </c>
      <c r="C3" s="2">
        <v>2958571</v>
      </c>
      <c r="D3">
        <v>36802</v>
      </c>
      <c r="E3" s="2">
        <f>Tabla3[[#This Row],[Ingresos]]/Tabla3[[#This Row],[Cantidad]]</f>
        <v>80.391581979240257</v>
      </c>
    </row>
    <row r="4" spans="1:7 16357:16357" x14ac:dyDescent="0.3">
      <c r="A4" t="s">
        <v>1</v>
      </c>
      <c r="B4" t="s">
        <v>3</v>
      </c>
      <c r="C4" s="2">
        <v>9569456</v>
      </c>
      <c r="D4">
        <v>195408</v>
      </c>
      <c r="E4" s="2">
        <f>Tabla3[[#This Row],[Ingresos]]/Tabla3[[#This Row],[Cantidad]]</f>
        <v>48.971669532465405</v>
      </c>
    </row>
    <row r="5" spans="1:7 16357:16357" x14ac:dyDescent="0.3">
      <c r="A5" t="s">
        <v>1</v>
      </c>
      <c r="B5" t="s">
        <v>4</v>
      </c>
      <c r="C5" s="2">
        <v>1723118</v>
      </c>
      <c r="D5">
        <v>42695</v>
      </c>
      <c r="E5" s="2">
        <f>Tabla3[[#This Row],[Ingresos]]/Tabla3[[#This Row],[Cantidad]]</f>
        <v>40.358777374399814</v>
      </c>
    </row>
    <row r="6" spans="1:7 16357:16357" x14ac:dyDescent="0.3">
      <c r="A6" t="s">
        <v>2</v>
      </c>
      <c r="B6" t="s">
        <v>3</v>
      </c>
      <c r="C6" s="2">
        <v>4043456</v>
      </c>
      <c r="D6">
        <v>57714</v>
      </c>
      <c r="E6" s="2">
        <f>Tabla3[[#This Row],[Ingresos]]/Tabla3[[#This Row],[Cantidad]]</f>
        <v>70.060228020930793</v>
      </c>
      <c r="G6">
        <v>57714</v>
      </c>
    </row>
    <row r="7" spans="1:7 16357:16357" x14ac:dyDescent="0.3">
      <c r="A7" t="s">
        <v>2</v>
      </c>
      <c r="B7" t="s">
        <v>4</v>
      </c>
      <c r="C7" s="2">
        <v>9318480</v>
      </c>
      <c r="D7">
        <v>121731</v>
      </c>
      <c r="E7" s="2">
        <f>Tabla3[[#This Row],[Ingresos]]/Tabla3[[#This Row],[Cantidad]]</f>
        <v>76.54976957389654</v>
      </c>
    </row>
    <row r="16" spans="1:7 16357:16357" x14ac:dyDescent="0.3">
      <c r="XEC16" t="s">
        <v>23</v>
      </c>
    </row>
    <row r="17" spans="16357:16367" x14ac:dyDescent="0.3">
      <c r="XEC17" t="s">
        <v>24</v>
      </c>
    </row>
    <row r="18" spans="16357:16367" x14ac:dyDescent="0.3">
      <c r="XEC18" t="s">
        <v>23</v>
      </c>
    </row>
    <row r="24" spans="16357:16367" x14ac:dyDescent="0.3">
      <c r="XEI24">
        <v>2025</v>
      </c>
      <c r="XEJ24" t="s">
        <v>11</v>
      </c>
      <c r="XEK24" t="s">
        <v>13</v>
      </c>
      <c r="XEL24" t="s">
        <v>3</v>
      </c>
      <c r="XEM24">
        <v>70</v>
      </c>
    </row>
    <row r="25" spans="16357:16367" x14ac:dyDescent="0.3">
      <c r="XEI25">
        <v>2025</v>
      </c>
      <c r="XEJ25" t="s">
        <v>11</v>
      </c>
      <c r="XEK25" t="s">
        <v>14</v>
      </c>
      <c r="XEL25" t="s">
        <v>3</v>
      </c>
      <c r="XEM25">
        <v>51198</v>
      </c>
    </row>
    <row r="26" spans="16357:16367" x14ac:dyDescent="0.3">
      <c r="XEI26">
        <v>2025</v>
      </c>
      <c r="XEJ26" t="s">
        <v>11</v>
      </c>
      <c r="XEK26" t="s">
        <v>14</v>
      </c>
      <c r="XEL26" t="s">
        <v>4</v>
      </c>
      <c r="XEM26">
        <v>36802</v>
      </c>
    </row>
    <row r="28" spans="16357:16367" x14ac:dyDescent="0.3">
      <c r="XEI28">
        <v>2025</v>
      </c>
      <c r="XEJ28" t="s">
        <v>1</v>
      </c>
      <c r="XEK28" t="s">
        <v>18</v>
      </c>
      <c r="XEL28" t="s">
        <v>3</v>
      </c>
      <c r="XEM28">
        <v>505</v>
      </c>
    </row>
    <row r="29" spans="16357:16367" x14ac:dyDescent="0.3">
      <c r="XEI29">
        <v>2025</v>
      </c>
      <c r="XEJ29" t="s">
        <v>1</v>
      </c>
      <c r="XEK29" t="s">
        <v>14</v>
      </c>
      <c r="XEL29" t="s">
        <v>3</v>
      </c>
      <c r="XEM29">
        <v>194903</v>
      </c>
    </row>
    <row r="30" spans="16357:16367" x14ac:dyDescent="0.3">
      <c r="XEI30">
        <v>2025</v>
      </c>
      <c r="XEJ30" t="s">
        <v>1</v>
      </c>
      <c r="XEK30" t="s">
        <v>14</v>
      </c>
      <c r="XEL30" t="s">
        <v>4</v>
      </c>
      <c r="XEM30">
        <v>42695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4E68-D4FC-4511-B753-52173968310B}">
  <dimension ref="A1:F11"/>
  <sheetViews>
    <sheetView workbookViewId="0">
      <selection activeCell="C10" sqref="C10"/>
    </sheetView>
  </sheetViews>
  <sheetFormatPr baseColWidth="10" defaultRowHeight="14.4" x14ac:dyDescent="0.3"/>
  <cols>
    <col min="1" max="1" width="20.5546875" customWidth="1"/>
    <col min="2" max="2" width="15.109375" customWidth="1"/>
    <col min="3" max="3" width="18.5546875" customWidth="1"/>
    <col min="4" max="4" width="20.33203125" customWidth="1"/>
  </cols>
  <sheetData>
    <row r="1" spans="1:6" x14ac:dyDescent="0.3">
      <c r="A1" t="s">
        <v>25</v>
      </c>
      <c r="B1" t="s">
        <v>26</v>
      </c>
      <c r="C1" t="s">
        <v>27</v>
      </c>
      <c r="D1" t="s">
        <v>28</v>
      </c>
    </row>
    <row r="2" spans="1:6" x14ac:dyDescent="0.3">
      <c r="A2" t="s">
        <v>2</v>
      </c>
      <c r="B2" t="s">
        <v>29</v>
      </c>
      <c r="C2" t="s">
        <v>3</v>
      </c>
      <c r="D2">
        <v>95296</v>
      </c>
      <c r="F2" s="3">
        <f>SUM(D2:D6)</f>
        <v>158695</v>
      </c>
    </row>
    <row r="3" spans="1:6" x14ac:dyDescent="0.3">
      <c r="A3" t="s">
        <v>2</v>
      </c>
      <c r="B3" t="s">
        <v>30</v>
      </c>
      <c r="C3" t="s">
        <v>3</v>
      </c>
      <c r="D3">
        <v>28264</v>
      </c>
      <c r="F3" s="3"/>
    </row>
    <row r="4" spans="1:6" x14ac:dyDescent="0.3">
      <c r="A4" t="s">
        <v>2</v>
      </c>
      <c r="B4" t="s">
        <v>31</v>
      </c>
      <c r="C4" t="s">
        <v>3</v>
      </c>
      <c r="D4">
        <v>24868</v>
      </c>
      <c r="F4" s="3"/>
    </row>
    <row r="5" spans="1:6" x14ac:dyDescent="0.3">
      <c r="A5" t="s">
        <v>2</v>
      </c>
      <c r="B5" t="s">
        <v>32</v>
      </c>
      <c r="C5" t="s">
        <v>3</v>
      </c>
      <c r="D5">
        <v>5342</v>
      </c>
      <c r="F5" s="3"/>
    </row>
    <row r="6" spans="1:6" x14ac:dyDescent="0.3">
      <c r="A6" t="s">
        <v>2</v>
      </c>
      <c r="B6" t="s">
        <v>33</v>
      </c>
      <c r="C6" t="s">
        <v>3</v>
      </c>
      <c r="D6">
        <v>4925</v>
      </c>
      <c r="F6" s="3"/>
    </row>
    <row r="7" spans="1:6" x14ac:dyDescent="0.3">
      <c r="A7" t="s">
        <v>2</v>
      </c>
      <c r="B7" t="s">
        <v>29</v>
      </c>
      <c r="C7" t="s">
        <v>4</v>
      </c>
      <c r="D7">
        <v>111019</v>
      </c>
      <c r="F7" s="3">
        <f>SUM(D7:D11)</f>
        <v>137252</v>
      </c>
    </row>
    <row r="8" spans="1:6" x14ac:dyDescent="0.3">
      <c r="A8" t="s">
        <v>2</v>
      </c>
      <c r="B8" t="s">
        <v>30</v>
      </c>
      <c r="C8" t="s">
        <v>4</v>
      </c>
      <c r="D8">
        <v>13369</v>
      </c>
      <c r="F8" s="3"/>
    </row>
    <row r="9" spans="1:6" x14ac:dyDescent="0.3">
      <c r="A9" t="s">
        <v>2</v>
      </c>
      <c r="B9" t="s">
        <v>31</v>
      </c>
      <c r="C9" t="s">
        <v>4</v>
      </c>
      <c r="D9">
        <v>3643</v>
      </c>
      <c r="F9" s="3"/>
    </row>
    <row r="10" spans="1:6" x14ac:dyDescent="0.3">
      <c r="A10" t="s">
        <v>2</v>
      </c>
      <c r="B10" t="s">
        <v>32</v>
      </c>
      <c r="C10" t="s">
        <v>4</v>
      </c>
      <c r="D10">
        <v>9165</v>
      </c>
      <c r="F10" s="3"/>
    </row>
    <row r="11" spans="1:6" x14ac:dyDescent="0.3">
      <c r="A11" t="s">
        <v>2</v>
      </c>
      <c r="B11" t="s">
        <v>33</v>
      </c>
      <c r="C11" t="s">
        <v>4</v>
      </c>
      <c r="D11">
        <v>56</v>
      </c>
      <c r="F11" s="3"/>
    </row>
  </sheetData>
  <mergeCells count="2">
    <mergeCell ref="F2:F6"/>
    <mergeCell ref="F7:F1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NIETO</dc:creator>
  <cp:lastModifiedBy>FRANK NIETO</cp:lastModifiedBy>
  <dcterms:created xsi:type="dcterms:W3CDTF">2026-02-03T21:21:40Z</dcterms:created>
  <dcterms:modified xsi:type="dcterms:W3CDTF">2026-02-04T14:54:51Z</dcterms:modified>
</cp:coreProperties>
</file>